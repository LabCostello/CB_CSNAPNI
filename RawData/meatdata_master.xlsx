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lds5498_psu_edu/Documents/CSNAPNI/CSNAPNI/CBW-CSNAPNI/CB_CSNAPNI/RawData/"/>
    </mc:Choice>
  </mc:AlternateContent>
  <xr:revisionPtr revIDLastSave="2" documentId="11_FEC559CAAE9EEC36DA4909B815B237447BF97D74" xr6:coauthVersionLast="47" xr6:coauthVersionMax="47" xr10:uidLastSave="{53C55509-7AA0-E44A-85D1-3417744EA34C}"/>
  <bookViews>
    <workbookView xWindow="480" yWindow="760" windowWidth="18200" windowHeight="11460" xr2:uid="{00000000-000D-0000-FFFF-FFFF00000000}"/>
  </bookViews>
  <sheets>
    <sheet name="meatdata_master" sheetId="1" r:id="rId1"/>
    <sheet name="meatdata" sheetId="2" r:id="rId2"/>
    <sheet name="meatdata_k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H9" i="2"/>
  <c r="G9" i="2"/>
  <c r="D9" i="2"/>
  <c r="C9" i="2"/>
  <c r="B9" i="2"/>
  <c r="A9" i="2"/>
  <c r="I8" i="2"/>
  <c r="H8" i="2"/>
  <c r="G8" i="2"/>
  <c r="E8" i="2"/>
  <c r="D8" i="2"/>
  <c r="C8" i="2"/>
  <c r="B8" i="2"/>
  <c r="A8" i="2"/>
  <c r="I7" i="2"/>
  <c r="H7" i="2"/>
  <c r="G7" i="2"/>
  <c r="E7" i="2"/>
  <c r="D7" i="2"/>
  <c r="C7" i="2"/>
  <c r="B7" i="2"/>
  <c r="A7" i="2"/>
  <c r="I6" i="2"/>
  <c r="H6" i="2"/>
  <c r="G6" i="2"/>
  <c r="E6" i="2"/>
  <c r="D6" i="2"/>
  <c r="C6" i="2"/>
  <c r="B6" i="2"/>
  <c r="A6" i="2"/>
  <c r="I5" i="2"/>
  <c r="H5" i="2"/>
  <c r="G5" i="2"/>
  <c r="E5" i="2"/>
  <c r="D5" i="2"/>
  <c r="C5" i="2"/>
  <c r="B5" i="2"/>
  <c r="A5" i="2"/>
  <c r="I4" i="2"/>
  <c r="H4" i="2"/>
  <c r="G4" i="2"/>
  <c r="F4" i="2"/>
  <c r="E4" i="2"/>
  <c r="D4" i="2"/>
  <c r="C4" i="2"/>
  <c r="B4" i="2"/>
  <c r="A4" i="2"/>
  <c r="I3" i="2"/>
  <c r="H3" i="2"/>
  <c r="G3" i="2"/>
  <c r="E3" i="2"/>
  <c r="D3" i="2"/>
  <c r="C3" i="2"/>
  <c r="B3" i="2"/>
  <c r="A3" i="2"/>
  <c r="I2" i="2"/>
  <c r="H2" i="2"/>
  <c r="G2" i="2"/>
  <c r="E2" i="2"/>
  <c r="D2" i="2"/>
  <c r="C2" i="2"/>
  <c r="B2" i="2"/>
  <c r="A2" i="2"/>
  <c r="I1" i="2"/>
  <c r="H1" i="2"/>
  <c r="G1" i="2"/>
  <c r="E1" i="2"/>
  <c r="D1" i="2"/>
  <c r="C1" i="2"/>
  <c r="B1" i="2"/>
  <c r="A1" i="2"/>
  <c r="E25" i="1"/>
  <c r="G11" i="1" s="1"/>
  <c r="E9" i="2" s="1"/>
  <c r="H24" i="1"/>
  <c r="E24" i="1"/>
  <c r="H23" i="1"/>
  <c r="E23" i="1"/>
  <c r="H22" i="1"/>
  <c r="E22" i="1"/>
  <c r="H8" i="1" s="1"/>
  <c r="F6" i="2" s="1"/>
  <c r="H21" i="1"/>
  <c r="E21" i="1"/>
  <c r="H20" i="1"/>
  <c r="E20" i="1"/>
  <c r="H19" i="1"/>
  <c r="E19" i="1"/>
  <c r="H5" i="1" s="1"/>
  <c r="F3" i="2" s="1"/>
  <c r="H18" i="1"/>
  <c r="E18" i="1"/>
  <c r="H17" i="1"/>
  <c r="E17" i="1"/>
  <c r="H11" i="1"/>
  <c r="F9" i="2" s="1"/>
  <c r="H10" i="1"/>
  <c r="F8" i="2" s="1"/>
  <c r="H9" i="1"/>
  <c r="F7" i="2" s="1"/>
  <c r="H7" i="1"/>
  <c r="F5" i="2" s="1"/>
  <c r="H6" i="1"/>
  <c r="H4" i="1"/>
  <c r="F2" i="2" s="1"/>
  <c r="H3" i="1"/>
  <c r="F1" i="2" s="1"/>
</calcChain>
</file>

<file path=xl/sharedStrings.xml><?xml version="1.0" encoding="utf-8"?>
<sst xmlns="http://schemas.openxmlformats.org/spreadsheetml/2006/main" count="74" uniqueCount="36">
  <si>
    <t>Proportion Loss in Human Consumption</t>
  </si>
  <si>
    <t>Product Weight (kg/animal)</t>
  </si>
  <si>
    <t>Edible Portion (kg edible/kg animal)</t>
  </si>
  <si>
    <t>N in Edible Portion (kg N/kg edible)</t>
  </si>
  <si>
    <t>P in Edible Portion (kg P/kg edible)</t>
  </si>
  <si>
    <t>P in Edible Portion de Vries (kg P/kg edible)</t>
  </si>
  <si>
    <t>kcal/kg edible portion</t>
  </si>
  <si>
    <t>g protein/kg edible portion</t>
  </si>
  <si>
    <t>g protein/kg edible portion de Vries</t>
  </si>
  <si>
    <t>beef</t>
  </si>
  <si>
    <t>dairy</t>
  </si>
  <si>
    <t>pigs/hogs</t>
  </si>
  <si>
    <t>sheep</t>
  </si>
  <si>
    <t>horse</t>
  </si>
  <si>
    <t>layers</t>
  </si>
  <si>
    <t>broilers</t>
  </si>
  <si>
    <t>turkey</t>
  </si>
  <si>
    <t>goats</t>
  </si>
  <si>
    <t/>
  </si>
  <si>
    <t>Type</t>
  </si>
  <si>
    <t>P in Edible Portion NAPI (kg P/kg edible)</t>
  </si>
  <si>
    <t xml:space="preserve">&lt;adapted from de Vries 2010 or left the same, assumed Turkey was also 190 g/kg. </t>
  </si>
  <si>
    <t>mg P/g protein</t>
  </si>
  <si>
    <t>Source: Kalantar-Zadeh 2010</t>
  </si>
  <si>
    <t>kg P/g protein</t>
  </si>
  <si>
    <t>&lt;&lt;assumed</t>
  </si>
  <si>
    <t>Han et al</t>
  </si>
  <si>
    <t>Livestock product</t>
  </si>
  <si>
    <t>P in edible portion (%)</t>
  </si>
  <si>
    <t>veal</t>
  </si>
  <si>
    <t>pork</t>
  </si>
  <si>
    <t>lamb</t>
  </si>
  <si>
    <t>chicken</t>
  </si>
  <si>
    <t>egg</t>
  </si>
  <si>
    <t>broiler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</si>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</sst>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%"/>
    <numFmt numFmtId="165" formatCode="#,##0.0000"/>
    <numFmt numFmtId="166" formatCode="#,##0.000"/>
    <numFmt numFmtId="167" formatCode="#,##0.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quotePrefix="1" applyNumberFormat="1"/>
    <xf numFmtId="0" fontId="0" fillId="0" borderId="0" xfId="0" applyAlignment="1">
      <alignment wrapText="1"/>
    </xf>
    <xf numFmtId="3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0" applyNumberFormat="1"/>
    <xf numFmtId="3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4" fillId="0" borderId="2" xfId="0" applyFont="1" applyBorder="1" applyAlignment="1">
      <alignment horizontal="left" wrapText="1"/>
    </xf>
    <xf numFmtId="4" fontId="4" fillId="0" borderId="2" xfId="0" applyNumberFormat="1" applyFont="1" applyBorder="1" applyAlignment="1">
      <alignment horizontal="left" wrapText="1"/>
    </xf>
    <xf numFmtId="4" fontId="0" fillId="0" borderId="0" xfId="0" applyNumberFormat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4" fontId="4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8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3.5" style="14" bestFit="1" customWidth="1"/>
    <col min="2" max="2" width="13.5" style="13" bestFit="1" customWidth="1"/>
    <col min="3" max="3" width="29.5" style="15" bestFit="1" customWidth="1"/>
    <col min="4" max="4" width="29.5" style="16" bestFit="1" customWidth="1"/>
    <col min="5" max="5" width="31" style="16" bestFit="1" customWidth="1"/>
    <col min="6" max="6" width="30.5" style="16" bestFit="1" customWidth="1"/>
    <col min="7" max="7" width="29.83203125" style="16" bestFit="1" customWidth="1"/>
    <col min="8" max="8" width="37.33203125" style="16" bestFit="1" customWidth="1"/>
    <col min="9" max="9" width="21.6640625" style="14" bestFit="1" customWidth="1"/>
    <col min="10" max="10" width="24" style="14" bestFit="1" customWidth="1"/>
    <col min="11" max="11" width="23" style="14" bestFit="1" customWidth="1"/>
    <col min="12" max="13" width="13.5" bestFit="1" customWidth="1"/>
  </cols>
  <sheetData>
    <row r="1" spans="1:13" ht="18.75" customHeight="1" x14ac:dyDescent="0.2">
      <c r="A1" s="12" t="s">
        <v>18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</row>
    <row r="2" spans="1:13" ht="18.75" customHeight="1" x14ac:dyDescent="0.2">
      <c r="B2" s="13" t="s">
        <v>19</v>
      </c>
      <c r="C2" s="15" t="s">
        <v>0</v>
      </c>
      <c r="D2" s="16" t="s">
        <v>1</v>
      </c>
      <c r="E2" s="16" t="s">
        <v>2</v>
      </c>
      <c r="F2" s="16" t="s">
        <v>3</v>
      </c>
      <c r="G2" s="16" t="s">
        <v>20</v>
      </c>
      <c r="H2" s="16" t="s">
        <v>5</v>
      </c>
      <c r="I2" s="14" t="s">
        <v>6</v>
      </c>
      <c r="J2" s="14" t="s">
        <v>7</v>
      </c>
      <c r="K2" s="14" t="s">
        <v>7</v>
      </c>
      <c r="L2" t="s">
        <v>21</v>
      </c>
    </row>
    <row r="3" spans="1:13" ht="19.5" customHeight="1" x14ac:dyDescent="0.2">
      <c r="A3" s="4">
        <v>1</v>
      </c>
      <c r="B3" s="13" t="s">
        <v>9</v>
      </c>
      <c r="C3" s="2">
        <v>0.1</v>
      </c>
      <c r="D3" s="4">
        <v>463</v>
      </c>
      <c r="E3" s="5">
        <v>0.42200000000000004</v>
      </c>
      <c r="F3" s="5">
        <v>4.8000000000000001E-2</v>
      </c>
      <c r="G3" s="5">
        <v>1.98E-3</v>
      </c>
      <c r="H3" s="5">
        <f t="shared" ref="H3:H11" si="0">K3*$E17</f>
        <v>1.4250000000000001E-3</v>
      </c>
      <c r="I3" s="17">
        <v>2910</v>
      </c>
      <c r="J3" s="5">
        <v>173.2</v>
      </c>
      <c r="K3" s="4">
        <v>190</v>
      </c>
      <c r="L3" s="4"/>
      <c r="M3" s="4"/>
    </row>
    <row r="4" spans="1:13" ht="19.5" customHeight="1" x14ac:dyDescent="0.2">
      <c r="A4" s="4">
        <v>2</v>
      </c>
      <c r="B4" s="13" t="s">
        <v>10</v>
      </c>
      <c r="C4" s="2">
        <v>0.1</v>
      </c>
      <c r="D4" s="4">
        <v>10068.67</v>
      </c>
      <c r="E4" s="4">
        <v>1</v>
      </c>
      <c r="F4" s="5">
        <v>4.96E-3</v>
      </c>
      <c r="G4" s="5">
        <v>9.1E-4</v>
      </c>
      <c r="H4" s="5">
        <f t="shared" si="0"/>
        <v>8.9145000000000001E-4</v>
      </c>
      <c r="I4" s="17">
        <v>610</v>
      </c>
      <c r="J4" s="5">
        <v>31.5</v>
      </c>
      <c r="K4" s="5">
        <v>31.5</v>
      </c>
      <c r="L4" s="4"/>
      <c r="M4" s="4"/>
    </row>
    <row r="5" spans="1:13" ht="19.5" customHeight="1" x14ac:dyDescent="0.2">
      <c r="A5" s="4">
        <v>3</v>
      </c>
      <c r="B5" s="13" t="s">
        <v>11</v>
      </c>
      <c r="C5" s="2">
        <v>0.1</v>
      </c>
      <c r="D5" s="4">
        <v>112</v>
      </c>
      <c r="E5" s="5">
        <v>0.53600000000000003</v>
      </c>
      <c r="F5" s="5">
        <v>1.7920000000000002E-2</v>
      </c>
      <c r="G5" s="5">
        <v>2.0899999999999998E-3</v>
      </c>
      <c r="H5" s="5">
        <f t="shared" si="0"/>
        <v>1.7670000000000001E-3</v>
      </c>
      <c r="I5" s="17">
        <v>4720</v>
      </c>
      <c r="J5" s="5">
        <v>139.19999999999999</v>
      </c>
      <c r="K5" s="4">
        <v>190</v>
      </c>
      <c r="L5" s="4"/>
      <c r="M5" s="4"/>
    </row>
    <row r="6" spans="1:13" ht="19.5" customHeight="1" x14ac:dyDescent="0.2">
      <c r="A6" s="4">
        <v>4</v>
      </c>
      <c r="B6" s="13" t="s">
        <v>12</v>
      </c>
      <c r="C6" s="2">
        <v>0.1</v>
      </c>
      <c r="D6" s="5">
        <v>44.6</v>
      </c>
      <c r="E6" s="5">
        <v>0.498</v>
      </c>
      <c r="F6" s="5">
        <v>4.8000000000000001E-2</v>
      </c>
      <c r="G6" s="5">
        <v>1.89E-3</v>
      </c>
      <c r="H6" s="5">
        <f t="shared" si="0"/>
        <v>1.0634400000000001E-3</v>
      </c>
      <c r="I6" s="17">
        <v>2670</v>
      </c>
      <c r="J6" s="5">
        <v>168.79999999999998</v>
      </c>
      <c r="K6" s="5">
        <v>168.8</v>
      </c>
      <c r="L6" s="4"/>
      <c r="M6" s="4"/>
    </row>
    <row r="7" spans="1:13" ht="19.5" customHeight="1" x14ac:dyDescent="0.2">
      <c r="A7" s="4">
        <v>5</v>
      </c>
      <c r="B7" s="13" t="s">
        <v>13</v>
      </c>
      <c r="C7" s="2">
        <v>0.1</v>
      </c>
      <c r="D7" s="4">
        <v>0</v>
      </c>
      <c r="E7" s="4">
        <v>0</v>
      </c>
      <c r="F7" s="4">
        <v>0</v>
      </c>
      <c r="G7" s="4">
        <v>0</v>
      </c>
      <c r="H7" s="4">
        <f t="shared" si="0"/>
        <v>0</v>
      </c>
      <c r="I7" s="17">
        <v>0</v>
      </c>
      <c r="J7" s="4">
        <v>0</v>
      </c>
      <c r="K7" s="4">
        <v>0</v>
      </c>
      <c r="L7" s="4"/>
    </row>
    <row r="8" spans="1:13" ht="19.5" customHeight="1" x14ac:dyDescent="0.2">
      <c r="A8" s="4">
        <v>6</v>
      </c>
      <c r="B8" s="13" t="s">
        <v>14</v>
      </c>
      <c r="C8" s="2">
        <v>0.1</v>
      </c>
      <c r="D8" s="5">
        <v>14.5</v>
      </c>
      <c r="E8" s="5">
        <v>0.89</v>
      </c>
      <c r="F8" s="5">
        <v>1.7600000000000001E-2</v>
      </c>
      <c r="G8" s="5">
        <v>1.4999999999999999E-4</v>
      </c>
      <c r="H8" s="5">
        <f t="shared" si="0"/>
        <v>1.68304E-3</v>
      </c>
      <c r="I8" s="17">
        <v>1430</v>
      </c>
      <c r="J8" s="5">
        <v>125.60000000000001</v>
      </c>
      <c r="K8" s="5">
        <v>125.6</v>
      </c>
      <c r="L8" s="4"/>
      <c r="M8" s="4"/>
    </row>
    <row r="9" spans="1:13" ht="19.5" customHeight="1" x14ac:dyDescent="0.2">
      <c r="A9" s="4">
        <v>7</v>
      </c>
      <c r="B9" s="13" t="s">
        <v>15</v>
      </c>
      <c r="C9" s="2">
        <v>0.1</v>
      </c>
      <c r="D9" s="5">
        <v>1.71</v>
      </c>
      <c r="E9" s="5">
        <v>0.69</v>
      </c>
      <c r="F9" s="5">
        <v>1.7100000000000001E-2</v>
      </c>
      <c r="G9" s="5">
        <v>1.49E-3</v>
      </c>
      <c r="H9" s="5">
        <f t="shared" si="0"/>
        <v>1.4250000000000001E-3</v>
      </c>
      <c r="I9" s="17">
        <v>2130</v>
      </c>
      <c r="J9" s="5">
        <v>183.3</v>
      </c>
      <c r="K9" s="4">
        <v>190</v>
      </c>
      <c r="L9" s="4"/>
      <c r="M9" s="4"/>
    </row>
    <row r="10" spans="1:13" ht="19.5" customHeight="1" x14ac:dyDescent="0.2">
      <c r="A10" s="4">
        <v>8</v>
      </c>
      <c r="B10" s="13" t="s">
        <v>16</v>
      </c>
      <c r="C10" s="2">
        <v>0.1</v>
      </c>
      <c r="D10" s="5">
        <v>8.51</v>
      </c>
      <c r="E10" s="5">
        <v>0.79</v>
      </c>
      <c r="F10" s="5">
        <v>2.9300000000000003E-2</v>
      </c>
      <c r="G10" s="5">
        <v>1.8E-3</v>
      </c>
      <c r="H10" s="5">
        <f t="shared" si="0"/>
        <v>1.4250000000000001E-3</v>
      </c>
      <c r="I10" s="17">
        <v>1570</v>
      </c>
      <c r="J10" s="5">
        <v>203.70000000000002</v>
      </c>
      <c r="K10" s="4">
        <v>190</v>
      </c>
      <c r="L10" s="4"/>
      <c r="M10" s="4"/>
    </row>
    <row r="11" spans="1:13" ht="19.5" customHeight="1" x14ac:dyDescent="0.2">
      <c r="A11" s="4">
        <v>9</v>
      </c>
      <c r="B11" s="13" t="s">
        <v>17</v>
      </c>
      <c r="C11" s="2">
        <v>0.1</v>
      </c>
      <c r="D11" s="5">
        <v>45.454545454545453</v>
      </c>
      <c r="E11" s="5">
        <v>0.498</v>
      </c>
      <c r="F11" s="5">
        <v>3.296052948641745E-2</v>
      </c>
      <c r="G11" s="5">
        <f>J11*$E25</f>
        <v>1.5449999999999999E-3</v>
      </c>
      <c r="H11" s="5">
        <f t="shared" si="0"/>
        <v>1.5449999999999999E-3</v>
      </c>
      <c r="I11" s="17">
        <v>1090</v>
      </c>
      <c r="J11" s="4">
        <v>206</v>
      </c>
      <c r="K11" s="4">
        <v>206</v>
      </c>
      <c r="L11" s="4"/>
      <c r="M11" s="4"/>
    </row>
    <row r="12" spans="1:13" ht="18.75" customHeight="1" x14ac:dyDescent="0.2"/>
    <row r="13" spans="1:13" ht="18.75" customHeight="1" x14ac:dyDescent="0.2"/>
    <row r="14" spans="1:13" ht="18.75" customHeight="1" x14ac:dyDescent="0.2"/>
    <row r="15" spans="1:13" ht="18.75" customHeight="1" x14ac:dyDescent="0.2"/>
    <row r="16" spans="1:13" ht="18.75" customHeight="1" x14ac:dyDescent="0.2">
      <c r="B16" s="13" t="s">
        <v>19</v>
      </c>
      <c r="C16" s="15" t="s">
        <v>22</v>
      </c>
      <c r="D16" s="16" t="s">
        <v>23</v>
      </c>
      <c r="E16" s="16" t="s">
        <v>24</v>
      </c>
    </row>
    <row r="17" spans="1:11" ht="18.75" customHeight="1" x14ac:dyDescent="0.2">
      <c r="B17" s="13" t="s">
        <v>9</v>
      </c>
      <c r="C17" s="5">
        <v>7.5</v>
      </c>
      <c r="E17" s="5">
        <f t="shared" ref="E17:E25" si="1">C17/10^6</f>
        <v>7.5000000000000002E-6</v>
      </c>
      <c r="F17" s="16" t="s">
        <v>9</v>
      </c>
      <c r="G17" s="5">
        <v>0.19800000000000001</v>
      </c>
      <c r="H17" s="5">
        <f t="shared" ref="H17:H24" si="2">G17/100</f>
        <v>1.98E-3</v>
      </c>
    </row>
    <row r="18" spans="1:11" ht="18.75" customHeight="1" x14ac:dyDescent="0.2">
      <c r="B18" s="13" t="s">
        <v>10</v>
      </c>
      <c r="C18" s="5">
        <v>28.3</v>
      </c>
      <c r="E18" s="5">
        <f t="shared" si="1"/>
        <v>2.83E-5</v>
      </c>
      <c r="F18" s="16" t="s">
        <v>10</v>
      </c>
      <c r="G18" s="5">
        <v>9.0999999999999998E-2</v>
      </c>
      <c r="H18" s="5">
        <f t="shared" si="2"/>
        <v>9.1E-4</v>
      </c>
    </row>
    <row r="19" spans="1:11" ht="18.75" customHeight="1" x14ac:dyDescent="0.2">
      <c r="B19" s="13" t="s">
        <v>11</v>
      </c>
      <c r="C19" s="5">
        <v>9.3000000000000007</v>
      </c>
      <c r="E19" s="5">
        <f t="shared" si="1"/>
        <v>9.3000000000000007E-6</v>
      </c>
      <c r="F19" s="16" t="s">
        <v>11</v>
      </c>
      <c r="G19" s="5">
        <v>0.20899999999999999</v>
      </c>
      <c r="H19" s="5">
        <f t="shared" si="2"/>
        <v>2.0899999999999998E-3</v>
      </c>
    </row>
    <row r="20" spans="1:11" ht="19.5" customHeight="1" x14ac:dyDescent="0.2">
      <c r="B20" s="13" t="s">
        <v>12</v>
      </c>
      <c r="C20" s="5">
        <v>6.3</v>
      </c>
      <c r="E20" s="5">
        <f t="shared" si="1"/>
        <v>6.2999999999999998E-6</v>
      </c>
      <c r="F20" s="16" t="s">
        <v>12</v>
      </c>
      <c r="G20" s="18">
        <v>0.189</v>
      </c>
      <c r="H20" s="5">
        <f t="shared" si="2"/>
        <v>1.89E-3</v>
      </c>
    </row>
    <row r="21" spans="1:11" ht="18.75" customHeight="1" x14ac:dyDescent="0.2">
      <c r="B21" s="13" t="s">
        <v>13</v>
      </c>
      <c r="C21" s="4">
        <v>0</v>
      </c>
      <c r="E21" s="4">
        <f t="shared" si="1"/>
        <v>0</v>
      </c>
      <c r="F21" s="16" t="s">
        <v>13</v>
      </c>
      <c r="G21" s="4">
        <v>0</v>
      </c>
      <c r="H21" s="4">
        <f t="shared" si="2"/>
        <v>0</v>
      </c>
    </row>
    <row r="22" spans="1:11" ht="19.5" customHeight="1" x14ac:dyDescent="0.2">
      <c r="B22" s="13" t="s">
        <v>14</v>
      </c>
      <c r="C22" s="5">
        <v>13.4</v>
      </c>
      <c r="E22" s="5">
        <f t="shared" si="1"/>
        <v>1.34E-5</v>
      </c>
      <c r="F22" s="16" t="s">
        <v>14</v>
      </c>
      <c r="G22" s="18">
        <v>1.4999999999999999E-2</v>
      </c>
      <c r="H22" s="5">
        <f t="shared" si="2"/>
        <v>1.4999999999999999E-4</v>
      </c>
    </row>
    <row r="23" spans="1:11" ht="19.5" customHeight="1" x14ac:dyDescent="0.2">
      <c r="B23" s="13" t="s">
        <v>15</v>
      </c>
      <c r="C23" s="5">
        <v>7.5</v>
      </c>
      <c r="E23" s="5">
        <f t="shared" si="1"/>
        <v>7.5000000000000002E-6</v>
      </c>
      <c r="F23" s="16" t="s">
        <v>15</v>
      </c>
      <c r="G23" s="18">
        <v>0.14899999999999999</v>
      </c>
      <c r="H23" s="5">
        <f t="shared" si="2"/>
        <v>1.49E-3</v>
      </c>
    </row>
    <row r="24" spans="1:11" ht="19.5" customHeight="1" x14ac:dyDescent="0.2">
      <c r="B24" s="13" t="s">
        <v>16</v>
      </c>
      <c r="C24" s="5">
        <v>7.5</v>
      </c>
      <c r="E24" s="5">
        <f t="shared" si="1"/>
        <v>7.5000000000000002E-6</v>
      </c>
      <c r="F24" s="16" t="s">
        <v>16</v>
      </c>
      <c r="G24" s="18">
        <v>0.18</v>
      </c>
      <c r="H24" s="5">
        <f t="shared" si="2"/>
        <v>1.8E-3</v>
      </c>
    </row>
    <row r="25" spans="1:11" ht="18.75" customHeight="1" x14ac:dyDescent="0.2">
      <c r="B25" s="13" t="s">
        <v>17</v>
      </c>
      <c r="C25" s="5">
        <v>7.5</v>
      </c>
      <c r="D25" s="16" t="s">
        <v>25</v>
      </c>
      <c r="E25" s="5">
        <f t="shared" si="1"/>
        <v>7.5000000000000002E-6</v>
      </c>
      <c r="F25" s="16" t="s">
        <v>17</v>
      </c>
    </row>
    <row r="26" spans="1:11" ht="18.75" customHeight="1" x14ac:dyDescent="0.2"/>
    <row r="27" spans="1:11" ht="18.75" customHeight="1" x14ac:dyDescent="0.2"/>
    <row r="28" spans="1:11" ht="18.75" customHeight="1" x14ac:dyDescent="0.2">
      <c r="B28" s="13" t="s">
        <v>26</v>
      </c>
    </row>
    <row r="29" spans="1:11" s="13" customFormat="1" ht="33.75" customHeight="1" x14ac:dyDescent="0.2">
      <c r="A29" s="19"/>
      <c r="B29" s="20" t="s">
        <v>27</v>
      </c>
      <c r="C29" s="21" t="s">
        <v>28</v>
      </c>
      <c r="D29" s="22"/>
      <c r="E29" s="22"/>
      <c r="F29" s="22"/>
      <c r="G29" s="22"/>
      <c r="H29" s="22"/>
      <c r="I29" s="19"/>
      <c r="J29" s="19"/>
      <c r="K29" s="19"/>
    </row>
    <row r="30" spans="1:11" s="13" customFormat="1" ht="20.25" customHeight="1" x14ac:dyDescent="0.2">
      <c r="A30" s="19"/>
      <c r="B30" s="23" t="s">
        <v>9</v>
      </c>
      <c r="C30" s="18">
        <v>0.19800000000000001</v>
      </c>
      <c r="D30" s="22"/>
      <c r="E30" s="22"/>
      <c r="F30" s="22"/>
      <c r="G30" s="22"/>
      <c r="H30" s="22"/>
      <c r="I30" s="19"/>
      <c r="J30" s="19"/>
      <c r="K30" s="19"/>
    </row>
    <row r="31" spans="1:11" s="13" customFormat="1" ht="19.5" customHeight="1" x14ac:dyDescent="0.2">
      <c r="A31" s="19"/>
      <c r="B31" s="23" t="s">
        <v>29</v>
      </c>
      <c r="C31" s="18">
        <v>0.21099999999999999</v>
      </c>
      <c r="D31" s="22"/>
      <c r="E31" s="22"/>
      <c r="F31" s="22"/>
      <c r="G31" s="22"/>
      <c r="H31" s="22"/>
      <c r="I31" s="19"/>
      <c r="J31" s="19"/>
      <c r="K31" s="19"/>
    </row>
    <row r="32" spans="1:11" s="13" customFormat="1" ht="19.5" customHeight="1" x14ac:dyDescent="0.2">
      <c r="A32" s="19"/>
      <c r="B32" s="23" t="s">
        <v>30</v>
      </c>
      <c r="C32" s="18">
        <v>0.20899999999999999</v>
      </c>
      <c r="D32" s="22"/>
      <c r="E32" s="22"/>
      <c r="F32" s="22"/>
      <c r="G32" s="22"/>
      <c r="H32" s="22"/>
      <c r="I32" s="19"/>
      <c r="J32" s="19"/>
      <c r="K32" s="19"/>
    </row>
    <row r="33" spans="1:11" s="13" customFormat="1" ht="19.5" customHeight="1" x14ac:dyDescent="0.2">
      <c r="A33" s="19"/>
      <c r="B33" s="23" t="s">
        <v>31</v>
      </c>
      <c r="C33" s="18">
        <v>0.189</v>
      </c>
      <c r="D33" s="22"/>
      <c r="E33" s="22"/>
      <c r="F33" s="22"/>
      <c r="G33" s="22"/>
      <c r="H33" s="22"/>
      <c r="I33" s="19"/>
      <c r="J33" s="19"/>
      <c r="K33" s="19"/>
    </row>
    <row r="34" spans="1:11" s="13" customFormat="1" ht="19.5" customHeight="1" x14ac:dyDescent="0.2">
      <c r="A34" s="19"/>
      <c r="B34" s="23" t="s">
        <v>32</v>
      </c>
      <c r="C34" s="18">
        <v>0.18099999999999999</v>
      </c>
      <c r="D34" s="22"/>
      <c r="E34" s="22"/>
      <c r="F34" s="22"/>
      <c r="G34" s="22"/>
      <c r="H34" s="22"/>
      <c r="I34" s="19"/>
      <c r="J34" s="19"/>
      <c r="K34" s="19"/>
    </row>
    <row r="35" spans="1:11" s="13" customFormat="1" ht="19.5" customHeight="1" x14ac:dyDescent="0.2">
      <c r="A35" s="19"/>
      <c r="B35" s="23" t="s">
        <v>33</v>
      </c>
      <c r="C35" s="18">
        <v>1.4999999999999999E-2</v>
      </c>
      <c r="D35" s="22"/>
      <c r="E35" s="22"/>
      <c r="F35" s="22"/>
      <c r="G35" s="22"/>
      <c r="H35" s="22"/>
      <c r="I35" s="19"/>
      <c r="J35" s="19"/>
      <c r="K35" s="19"/>
    </row>
    <row r="36" spans="1:11" s="13" customFormat="1" ht="19.5" customHeight="1" x14ac:dyDescent="0.2">
      <c r="A36" s="19"/>
      <c r="B36" s="23" t="s">
        <v>34</v>
      </c>
      <c r="C36" s="18">
        <v>0.14899999999999999</v>
      </c>
      <c r="D36" s="22"/>
      <c r="E36" s="22"/>
      <c r="F36" s="22"/>
      <c r="G36" s="22"/>
      <c r="H36" s="22"/>
      <c r="I36" s="19"/>
      <c r="J36" s="19"/>
      <c r="K36" s="19"/>
    </row>
    <row r="37" spans="1:11" s="13" customFormat="1" ht="19.5" customHeight="1" x14ac:dyDescent="0.2">
      <c r="A37" s="19"/>
      <c r="B37" s="23" t="s">
        <v>16</v>
      </c>
      <c r="C37" s="18">
        <v>0.18</v>
      </c>
      <c r="D37" s="22"/>
      <c r="E37" s="22"/>
      <c r="F37" s="22"/>
      <c r="G37" s="22"/>
      <c r="H37" s="22"/>
      <c r="I37" s="19"/>
      <c r="J37" s="19"/>
      <c r="K37" s="19"/>
    </row>
    <row r="38" spans="1:11" s="13" customFormat="1" ht="18.75" customHeight="1" x14ac:dyDescent="0.2">
      <c r="A38" s="19"/>
      <c r="B38" s="24" t="s">
        <v>35</v>
      </c>
      <c r="C38" s="25">
        <v>9.0999999999999998E-2</v>
      </c>
      <c r="D38" s="22"/>
      <c r="E38" s="22"/>
      <c r="F38" s="22"/>
      <c r="G38" s="22"/>
      <c r="H38" s="22"/>
      <c r="I38" s="19"/>
      <c r="J38" s="19"/>
      <c r="K38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9"/>
  <sheetViews>
    <sheetView workbookViewId="0"/>
  </sheetViews>
  <sheetFormatPr baseColWidth="10" defaultColWidth="8.83203125" defaultRowHeight="15" x14ac:dyDescent="0.2"/>
  <cols>
    <col min="1" max="1" width="13.5" style="11" bestFit="1" customWidth="1"/>
    <col min="2" max="2" width="19.5" style="11" bestFit="1" customWidth="1"/>
    <col min="3" max="9" width="13.5" style="11" bestFit="1" customWidth="1"/>
  </cols>
  <sheetData>
    <row r="1" spans="1:9" ht="18.75" customHeight="1" x14ac:dyDescent="0.2">
      <c r="A1" s="10">
        <f>meatdata_master!C3</f>
        <v>0.1</v>
      </c>
      <c r="B1" s="10">
        <f>meatdata_master!D3</f>
        <v>463</v>
      </c>
      <c r="C1" s="10">
        <f>meatdata_master!E3</f>
        <v>0.42200000000000004</v>
      </c>
      <c r="D1" s="10">
        <f>meatdata_master!F3</f>
        <v>4.8000000000000001E-2</v>
      </c>
      <c r="E1" s="10">
        <f>meatdata_master!G3</f>
        <v>1.98E-3</v>
      </c>
      <c r="F1" s="10">
        <f>meatdata_master!H3</f>
        <v>1.4250000000000001E-3</v>
      </c>
      <c r="G1" s="10">
        <f>meatdata_master!I3</f>
        <v>2910</v>
      </c>
      <c r="H1" s="10">
        <f>meatdata_master!J3</f>
        <v>173.2</v>
      </c>
      <c r="I1" s="10">
        <f>meatdata_master!K3</f>
        <v>190</v>
      </c>
    </row>
    <row r="2" spans="1:9" ht="18.75" customHeight="1" x14ac:dyDescent="0.2">
      <c r="A2" s="10">
        <f>meatdata_master!C4</f>
        <v>0.1</v>
      </c>
      <c r="B2" s="10">
        <f>meatdata_master!D4</f>
        <v>10068.67</v>
      </c>
      <c r="C2" s="10">
        <f>meatdata_master!E4</f>
        <v>1</v>
      </c>
      <c r="D2" s="10">
        <f>meatdata_master!F4</f>
        <v>4.96E-3</v>
      </c>
      <c r="E2" s="10">
        <f>meatdata_master!G4</f>
        <v>9.1E-4</v>
      </c>
      <c r="F2" s="10">
        <f>meatdata_master!H4</f>
        <v>8.9145000000000001E-4</v>
      </c>
      <c r="G2" s="10">
        <f>meatdata_master!I4</f>
        <v>610</v>
      </c>
      <c r="H2" s="10">
        <f>meatdata_master!J4</f>
        <v>31.5</v>
      </c>
      <c r="I2" s="10">
        <f>meatdata_master!K4</f>
        <v>31.5</v>
      </c>
    </row>
    <row r="3" spans="1:9" ht="18.75" customHeight="1" x14ac:dyDescent="0.2">
      <c r="A3" s="10">
        <f>meatdata_master!C5</f>
        <v>0.1</v>
      </c>
      <c r="B3" s="10">
        <f>meatdata_master!D5</f>
        <v>112</v>
      </c>
      <c r="C3" s="10">
        <f>meatdata_master!E5</f>
        <v>0.53600000000000003</v>
      </c>
      <c r="D3" s="10">
        <f>meatdata_master!F5</f>
        <v>1.7920000000000002E-2</v>
      </c>
      <c r="E3" s="10">
        <f>meatdata_master!G5</f>
        <v>2.0899999999999998E-3</v>
      </c>
      <c r="F3" s="10">
        <f>meatdata_master!H5</f>
        <v>1.7670000000000001E-3</v>
      </c>
      <c r="G3" s="10">
        <f>meatdata_master!I5</f>
        <v>4720</v>
      </c>
      <c r="H3" s="10">
        <f>meatdata_master!J5</f>
        <v>139.19999999999999</v>
      </c>
      <c r="I3" s="10">
        <f>meatdata_master!K5</f>
        <v>190</v>
      </c>
    </row>
    <row r="4" spans="1:9" ht="18.75" customHeight="1" x14ac:dyDescent="0.2">
      <c r="A4" s="10">
        <f>meatdata_master!C6</f>
        <v>0.1</v>
      </c>
      <c r="B4" s="10">
        <f>meatdata_master!D6</f>
        <v>44.6</v>
      </c>
      <c r="C4" s="10">
        <f>meatdata_master!E6</f>
        <v>0.498</v>
      </c>
      <c r="D4" s="10">
        <f>meatdata_master!F6</f>
        <v>4.8000000000000001E-2</v>
      </c>
      <c r="E4" s="10">
        <f>meatdata_master!G6</f>
        <v>1.89E-3</v>
      </c>
      <c r="F4" s="10">
        <f>meatdata_master!H6</f>
        <v>1.0634400000000001E-3</v>
      </c>
      <c r="G4" s="10">
        <f>meatdata_master!I6</f>
        <v>2670</v>
      </c>
      <c r="H4" s="10">
        <f>meatdata_master!J6</f>
        <v>168.79999999999998</v>
      </c>
      <c r="I4" s="10">
        <f>meatdata_master!K6</f>
        <v>168.8</v>
      </c>
    </row>
    <row r="5" spans="1:9" ht="18.75" customHeight="1" x14ac:dyDescent="0.2">
      <c r="A5" s="10">
        <f>meatdata_master!C7</f>
        <v>0.1</v>
      </c>
      <c r="B5" s="10">
        <f>meatdata_master!D7</f>
        <v>0</v>
      </c>
      <c r="C5" s="10">
        <f>meatdata_master!E7</f>
        <v>0</v>
      </c>
      <c r="D5" s="10">
        <f>meatdata_master!F7</f>
        <v>0</v>
      </c>
      <c r="E5" s="10">
        <f>meatdata_master!G7</f>
        <v>0</v>
      </c>
      <c r="F5" s="10">
        <f>meatdata_master!H7</f>
        <v>0</v>
      </c>
      <c r="G5" s="10">
        <f>meatdata_master!I7</f>
        <v>0</v>
      </c>
      <c r="H5" s="10">
        <f>meatdata_master!J7</f>
        <v>0</v>
      </c>
      <c r="I5" s="10">
        <f>meatdata_master!K7</f>
        <v>0</v>
      </c>
    </row>
    <row r="6" spans="1:9" ht="18.75" customHeight="1" x14ac:dyDescent="0.2">
      <c r="A6" s="10">
        <f>meatdata_master!C8</f>
        <v>0.1</v>
      </c>
      <c r="B6" s="10">
        <f>meatdata_master!D8</f>
        <v>14.5</v>
      </c>
      <c r="C6" s="10">
        <f>meatdata_master!E8</f>
        <v>0.89</v>
      </c>
      <c r="D6" s="10">
        <f>meatdata_master!F8</f>
        <v>1.7600000000000001E-2</v>
      </c>
      <c r="E6" s="10">
        <f>meatdata_master!G8</f>
        <v>1.4999999999999999E-4</v>
      </c>
      <c r="F6" s="10">
        <f>meatdata_master!H8</f>
        <v>1.68304E-3</v>
      </c>
      <c r="G6" s="10">
        <f>meatdata_master!I8</f>
        <v>1430</v>
      </c>
      <c r="H6" s="10">
        <f>meatdata_master!J8</f>
        <v>125.60000000000001</v>
      </c>
      <c r="I6" s="10">
        <f>meatdata_master!K8</f>
        <v>125.6</v>
      </c>
    </row>
    <row r="7" spans="1:9" ht="18.75" customHeight="1" x14ac:dyDescent="0.2">
      <c r="A7" s="10">
        <f>meatdata_master!C9</f>
        <v>0.1</v>
      </c>
      <c r="B7" s="10">
        <f>meatdata_master!D9</f>
        <v>1.71</v>
      </c>
      <c r="C7" s="10">
        <f>meatdata_master!E9</f>
        <v>0.69</v>
      </c>
      <c r="D7" s="10">
        <f>meatdata_master!F9</f>
        <v>1.7100000000000001E-2</v>
      </c>
      <c r="E7" s="10">
        <f>meatdata_master!G9</f>
        <v>1.49E-3</v>
      </c>
      <c r="F7" s="10">
        <f>meatdata_master!H9</f>
        <v>1.4250000000000001E-3</v>
      </c>
      <c r="G7" s="10">
        <f>meatdata_master!I9</f>
        <v>2130</v>
      </c>
      <c r="H7" s="10">
        <f>meatdata_master!J9</f>
        <v>183.3</v>
      </c>
      <c r="I7" s="10">
        <f>meatdata_master!K9</f>
        <v>190</v>
      </c>
    </row>
    <row r="8" spans="1:9" ht="18.75" customHeight="1" x14ac:dyDescent="0.2">
      <c r="A8" s="10">
        <f>meatdata_master!C10</f>
        <v>0.1</v>
      </c>
      <c r="B8" s="10">
        <f>meatdata_master!D10</f>
        <v>8.51</v>
      </c>
      <c r="C8" s="10">
        <f>meatdata_master!E10</f>
        <v>0.79</v>
      </c>
      <c r="D8" s="10">
        <f>meatdata_master!F10</f>
        <v>2.9300000000000003E-2</v>
      </c>
      <c r="E8" s="10">
        <f>meatdata_master!G10</f>
        <v>1.8E-3</v>
      </c>
      <c r="F8" s="10">
        <f>meatdata_master!H10</f>
        <v>1.4250000000000001E-3</v>
      </c>
      <c r="G8" s="10">
        <f>meatdata_master!I10</f>
        <v>1570</v>
      </c>
      <c r="H8" s="10">
        <f>meatdata_master!J10</f>
        <v>203.70000000000002</v>
      </c>
      <c r="I8" s="10">
        <f>meatdata_master!K10</f>
        <v>190</v>
      </c>
    </row>
    <row r="9" spans="1:9" ht="18.75" customHeight="1" x14ac:dyDescent="0.2">
      <c r="A9" s="10">
        <f>meatdata_master!C11</f>
        <v>0.1</v>
      </c>
      <c r="B9" s="10">
        <f>meatdata_master!D11</f>
        <v>45.454545454545453</v>
      </c>
      <c r="C9" s="10">
        <f>meatdata_master!E11</f>
        <v>0.498</v>
      </c>
      <c r="D9" s="10">
        <f>meatdata_master!F11</f>
        <v>3.296052948641745E-2</v>
      </c>
      <c r="E9" s="10">
        <f>meatdata_master!G11</f>
        <v>1.5449999999999999E-3</v>
      </c>
      <c r="F9" s="10">
        <f>meatdata_master!H11</f>
        <v>1.5449999999999999E-3</v>
      </c>
      <c r="G9" s="10">
        <f>meatdata_master!I11</f>
        <v>1090</v>
      </c>
      <c r="H9" s="10">
        <f>meatdata_master!J11</f>
        <v>206</v>
      </c>
      <c r="I9" s="10">
        <f>meatdata_master!K11</f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21"/>
  <sheetViews>
    <sheetView workbookViewId="0"/>
  </sheetViews>
  <sheetFormatPr baseColWidth="10" defaultColWidth="8.83203125" defaultRowHeight="15" x14ac:dyDescent="0.2"/>
  <cols>
    <col min="1" max="1" width="13.5" bestFit="1" customWidth="1"/>
    <col min="2" max="2" width="35.83203125" bestFit="1" customWidth="1"/>
    <col min="3" max="3" width="34" bestFit="1" customWidth="1"/>
    <col min="4" max="4" width="32.1640625" bestFit="1" customWidth="1"/>
    <col min="5" max="5" width="26.6640625" bestFit="1" customWidth="1"/>
    <col min="6" max="6" width="24.33203125" bestFit="1" customWidth="1"/>
    <col min="7" max="7" width="37.33203125" bestFit="1" customWidth="1"/>
    <col min="8" max="8" width="19.83203125" bestFit="1" customWidth="1"/>
    <col min="9" max="9" width="19" bestFit="1" customWidth="1"/>
    <col min="10" max="10" width="23.33203125" bestFit="1" customWidth="1"/>
    <col min="11" max="11" width="23.83203125" bestFit="1" customWidth="1"/>
    <col min="12" max="12" width="12.6640625" bestFit="1" customWidth="1"/>
    <col min="13" max="13" width="19.1640625" bestFit="1" customWidth="1"/>
    <col min="14" max="14" width="24.6640625" bestFit="1" customWidth="1"/>
    <col min="15" max="18" width="13.5" bestFit="1" customWidth="1"/>
  </cols>
  <sheetData>
    <row r="1" spans="1:18" ht="18.75" customHeight="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8" ht="18.75" customHeight="1" x14ac:dyDescent="0.2">
      <c r="A2" t="s">
        <v>9</v>
      </c>
      <c r="B2" s="1"/>
      <c r="C2" s="2"/>
      <c r="D2" s="2"/>
      <c r="E2" s="2"/>
      <c r="I2" s="3"/>
      <c r="L2" s="4"/>
      <c r="M2" s="4"/>
    </row>
    <row r="3" spans="1:18" ht="18.75" customHeight="1" x14ac:dyDescent="0.2">
      <c r="A3" t="s">
        <v>10</v>
      </c>
      <c r="B3" s="1"/>
      <c r="C3" s="2"/>
      <c r="D3" s="2"/>
      <c r="E3" s="2"/>
      <c r="I3" s="3"/>
      <c r="L3" s="4"/>
      <c r="M3" s="4"/>
    </row>
    <row r="4" spans="1:18" ht="18.75" customHeight="1" x14ac:dyDescent="0.2">
      <c r="A4" t="s">
        <v>11</v>
      </c>
      <c r="B4" s="1"/>
      <c r="C4" s="2"/>
      <c r="D4" s="2"/>
      <c r="E4" s="2"/>
      <c r="I4" s="3"/>
      <c r="L4" s="4"/>
      <c r="M4" s="4"/>
    </row>
    <row r="5" spans="1:18" ht="18.75" customHeight="1" x14ac:dyDescent="0.2">
      <c r="A5" t="s">
        <v>12</v>
      </c>
      <c r="B5" s="1"/>
      <c r="C5" s="2"/>
      <c r="D5" s="2"/>
      <c r="E5" s="2"/>
      <c r="I5" s="3"/>
      <c r="L5" s="4"/>
      <c r="M5" s="4"/>
    </row>
    <row r="6" spans="1:18" ht="18.75" customHeight="1" x14ac:dyDescent="0.2">
      <c r="A6" t="s">
        <v>13</v>
      </c>
      <c r="B6" s="1"/>
      <c r="C6" s="2"/>
      <c r="D6" s="2"/>
      <c r="E6" s="2"/>
      <c r="I6" s="3"/>
      <c r="L6" s="4"/>
    </row>
    <row r="7" spans="1:18" ht="18.75" customHeight="1" x14ac:dyDescent="0.2">
      <c r="A7" t="s">
        <v>14</v>
      </c>
      <c r="B7" s="1"/>
      <c r="C7" s="2"/>
      <c r="D7" s="2"/>
      <c r="E7" s="2"/>
      <c r="I7" s="3"/>
      <c r="L7" s="4"/>
      <c r="M7" s="4"/>
    </row>
    <row r="8" spans="1:18" ht="18.75" customHeight="1" x14ac:dyDescent="0.2">
      <c r="A8" t="s">
        <v>15</v>
      </c>
      <c r="B8" s="1"/>
      <c r="C8" s="2"/>
      <c r="D8" s="2"/>
      <c r="E8" s="2"/>
      <c r="I8" s="3"/>
      <c r="L8" s="4"/>
      <c r="M8" s="4"/>
    </row>
    <row r="9" spans="1:18" ht="18.75" customHeight="1" x14ac:dyDescent="0.2">
      <c r="A9" t="s">
        <v>16</v>
      </c>
      <c r="B9" s="1"/>
      <c r="C9" s="2"/>
      <c r="D9" s="2"/>
      <c r="E9" s="2"/>
      <c r="I9" s="3"/>
      <c r="L9" s="4"/>
      <c r="M9" s="4"/>
    </row>
    <row r="10" spans="1:18" ht="18.75" customHeight="1" x14ac:dyDescent="0.2">
      <c r="A10" t="s">
        <v>17</v>
      </c>
      <c r="B10" s="1"/>
      <c r="C10" s="2"/>
      <c r="D10" s="2"/>
      <c r="E10" s="2"/>
      <c r="F10" s="5"/>
      <c r="I10" s="3"/>
      <c r="L10" s="4"/>
      <c r="M10" s="4"/>
    </row>
    <row r="11" spans="1:18" ht="18.75" customHeight="1" x14ac:dyDescent="0.2"/>
    <row r="12" spans="1:18" ht="18.75" customHeight="1" x14ac:dyDescent="0.2"/>
    <row r="13" spans="1:18" ht="18.75" customHeight="1" x14ac:dyDescent="0.2">
      <c r="B13" s="1"/>
      <c r="C13" s="2"/>
      <c r="D13" s="2"/>
      <c r="E13" s="2"/>
      <c r="I13" s="3"/>
      <c r="K13" s="3"/>
      <c r="L13" s="5"/>
      <c r="M13" s="6"/>
      <c r="O13" s="7"/>
      <c r="P13" s="8"/>
      <c r="Q13" s="8"/>
      <c r="R13" s="9"/>
    </row>
    <row r="14" spans="1:18" ht="18.75" customHeight="1" x14ac:dyDescent="0.2">
      <c r="B14" s="1"/>
      <c r="C14" s="2"/>
      <c r="D14" s="2"/>
      <c r="E14" s="2"/>
      <c r="I14" s="3"/>
      <c r="K14" s="3"/>
      <c r="L14" s="5"/>
      <c r="M14" s="6"/>
      <c r="O14" s="7"/>
      <c r="P14" s="8"/>
      <c r="Q14" s="8"/>
      <c r="R14" s="9"/>
    </row>
    <row r="15" spans="1:18" ht="18.75" customHeight="1" x14ac:dyDescent="0.2">
      <c r="B15" s="1"/>
      <c r="C15" s="2"/>
      <c r="D15" s="2"/>
      <c r="E15" s="2"/>
      <c r="I15" s="3"/>
      <c r="K15" s="3"/>
      <c r="L15" s="5"/>
      <c r="M15" s="6"/>
      <c r="O15" s="7"/>
      <c r="P15" s="8"/>
      <c r="Q15" s="8"/>
      <c r="R15" s="9"/>
    </row>
    <row r="16" spans="1:18" ht="18.75" customHeight="1" x14ac:dyDescent="0.2">
      <c r="B16" s="1"/>
      <c r="C16" s="2"/>
      <c r="D16" s="2"/>
      <c r="E16" s="2"/>
      <c r="I16" s="3"/>
      <c r="K16" s="3"/>
      <c r="L16" s="5"/>
      <c r="M16" s="6"/>
      <c r="O16" s="7"/>
      <c r="P16" s="8"/>
      <c r="Q16" s="8"/>
      <c r="R16" s="9"/>
    </row>
    <row r="17" spans="2:18" ht="18.75" customHeight="1" x14ac:dyDescent="0.2">
      <c r="B17" s="1"/>
      <c r="C17" s="2"/>
      <c r="D17" s="2"/>
      <c r="E17" s="2"/>
      <c r="I17" s="3"/>
      <c r="K17" s="3"/>
      <c r="L17" s="5"/>
      <c r="M17" s="6"/>
      <c r="O17" s="7"/>
      <c r="P17" s="8"/>
      <c r="R17" s="9"/>
    </row>
    <row r="18" spans="2:18" ht="18.75" customHeight="1" x14ac:dyDescent="0.2">
      <c r="B18" s="1"/>
      <c r="C18" s="2"/>
      <c r="D18" s="2"/>
      <c r="E18" s="2"/>
      <c r="I18" s="3"/>
      <c r="K18" s="3"/>
      <c r="L18" s="5"/>
      <c r="M18" s="6"/>
      <c r="O18" s="7"/>
      <c r="P18" s="8"/>
      <c r="Q18" s="8"/>
      <c r="R18" s="9"/>
    </row>
    <row r="19" spans="2:18" ht="18.75" customHeight="1" x14ac:dyDescent="0.2">
      <c r="B19" s="1"/>
      <c r="C19" s="2"/>
      <c r="D19" s="2"/>
      <c r="E19" s="2"/>
      <c r="I19" s="3"/>
      <c r="K19" s="3"/>
      <c r="L19" s="5"/>
      <c r="M19" s="6"/>
      <c r="O19" s="7"/>
      <c r="P19" s="8"/>
      <c r="Q19" s="8"/>
      <c r="R19" s="9"/>
    </row>
    <row r="20" spans="2:18" ht="18.75" customHeight="1" x14ac:dyDescent="0.2">
      <c r="B20" s="1"/>
      <c r="C20" s="2"/>
      <c r="D20" s="2"/>
      <c r="E20" s="2"/>
      <c r="I20" s="3"/>
      <c r="K20" s="3"/>
      <c r="L20" s="5"/>
      <c r="M20" s="6"/>
      <c r="O20" s="7"/>
      <c r="P20" s="8"/>
      <c r="Q20" s="8"/>
      <c r="R20" s="9"/>
    </row>
    <row r="21" spans="2:18" ht="18.75" customHeight="1" x14ac:dyDescent="0.2">
      <c r="B21" s="1"/>
      <c r="C21" s="2"/>
      <c r="D21" s="2"/>
      <c r="E21" s="2"/>
      <c r="F21" s="5"/>
      <c r="I21" s="3"/>
      <c r="K21" s="3"/>
      <c r="L21" s="5"/>
      <c r="M21" s="6"/>
      <c r="O21" s="7"/>
      <c r="P21" s="8"/>
      <c r="Q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meatdata_master</vt:lpstr>
      <vt:lpstr>meatdata</vt:lpstr>
      <vt:lpstr>meatdata_key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Lima Casseres dos Santos, Lucas</cp:lastModifiedBy>
  <dcterms:created xsi:type="dcterms:W3CDTF">2023-05-22T17:56:36Z</dcterms:created>
  <dcterms:modified xsi:type="dcterms:W3CDTF">2025-04-19T06:27:07Z</dcterms:modified>
</cp:coreProperties>
</file>