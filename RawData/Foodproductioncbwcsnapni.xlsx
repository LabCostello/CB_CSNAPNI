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ivotTables/pivotTable6.xml" ContentType="application/vnd.openxmlformats-officedocument.spreadsheetml.pivotTable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lds5498_psu_edu/Documents/CSNAPNI/CSNAPNI/CBW-CSNAPNI/CB_CSNAPNI/RawData/"/>
    </mc:Choice>
  </mc:AlternateContent>
  <xr:revisionPtr revIDLastSave="1225" documentId="8_{067B2C05-24EF-8044-A5C9-2E4EC7C6365A}" xr6:coauthVersionLast="47" xr6:coauthVersionMax="47" xr10:uidLastSave="{B48A9E5F-8F88-6C49-9DC5-11A2CD8AC513}"/>
  <bookViews>
    <workbookView minimized="1" xWindow="0" yWindow="500" windowWidth="38400" windowHeight="21100" activeTab="1" xr2:uid="{8FEC7F8B-ECBB-4642-9D6F-22D26B4CA800}"/>
  </bookViews>
  <sheets>
    <sheet name="Summary" sheetId="1" r:id="rId1"/>
    <sheet name="Eggs" sheetId="4" r:id="rId2"/>
    <sheet name="Milk" sheetId="2" r:id="rId3"/>
    <sheet name="Beef" sheetId="6" r:id="rId4"/>
    <sheet name="Pork" sheetId="8" r:id="rId5"/>
    <sheet name="Broilers" sheetId="9" r:id="rId6"/>
    <sheet name="Turkey" sheetId="10" r:id="rId7"/>
    <sheet name="Sheet2" sheetId="12" r:id="rId8"/>
    <sheet name="Sheet1" sheetId="11" r:id="rId9"/>
    <sheet name="Sheet3" sheetId="13" r:id="rId10"/>
    <sheet name="Sheet5 (2)" sheetId="7" state="hidden" r:id="rId11"/>
    <sheet name="Sheet5" sheetId="5" state="hidden" r:id="rId12"/>
  </sheets>
  <definedNames>
    <definedName name="_xlnm._FilterDatabase" localSheetId="3" hidden="1">Beef!$B$3:$R$33</definedName>
    <definedName name="_xlnm._FilterDatabase" localSheetId="5" hidden="1">Broilers!$B$3:$M$33</definedName>
    <definedName name="_xlnm._FilterDatabase" localSheetId="1" hidden="1">Eggs!$A$2:$N$2</definedName>
    <definedName name="_xlnm._FilterDatabase" localSheetId="2" hidden="1">Milk!$A$1:$P$31</definedName>
    <definedName name="_xlnm._FilterDatabase" localSheetId="4" hidden="1">Pork!$B$3:$N$33</definedName>
    <definedName name="_xlnm._FilterDatabase" localSheetId="9" hidden="1">Sheet3!$C$2:$E$33</definedName>
    <definedName name="_xlnm._FilterDatabase" localSheetId="10" hidden="1">'Sheet5 (2)'!$A$1:$AB$31</definedName>
    <definedName name="_xlnm._FilterDatabase" localSheetId="6" hidden="1">Turkey!$B$3:$Z$33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L4" i="6"/>
  <c r="G5" i="6"/>
  <c r="I8" i="13"/>
  <c r="I7" i="13"/>
  <c r="I6" i="13"/>
  <c r="I5" i="13"/>
  <c r="I4" i="13"/>
  <c r="J4" i="4"/>
  <c r="K4" i="4"/>
  <c r="I4" i="4"/>
  <c r="L4" i="4"/>
  <c r="L10" i="4"/>
  <c r="L22" i="4"/>
  <c r="L28" i="4"/>
  <c r="L16" i="4"/>
  <c r="K9" i="4"/>
  <c r="K15" i="4"/>
  <c r="K20" i="4"/>
  <c r="K21" i="4"/>
  <c r="K27" i="4"/>
  <c r="K5" i="4"/>
  <c r="K6" i="4"/>
  <c r="K7" i="4"/>
  <c r="K8" i="4"/>
  <c r="I5" i="4"/>
  <c r="I6" i="4"/>
  <c r="I7" i="4"/>
  <c r="I8" i="4"/>
  <c r="I9" i="4"/>
  <c r="I10" i="4"/>
  <c r="K10" i="4" s="1"/>
  <c r="I11" i="4"/>
  <c r="K11" i="4" s="1"/>
  <c r="I12" i="4"/>
  <c r="K12" i="4" s="1"/>
  <c r="I13" i="4"/>
  <c r="K13" i="4" s="1"/>
  <c r="I14" i="4"/>
  <c r="K14" i="4" s="1"/>
  <c r="I15" i="4"/>
  <c r="I16" i="4"/>
  <c r="K16" i="4" s="1"/>
  <c r="I17" i="4"/>
  <c r="K17" i="4" s="1"/>
  <c r="I18" i="4"/>
  <c r="K18" i="4" s="1"/>
  <c r="I19" i="4"/>
  <c r="K19" i="4" s="1"/>
  <c r="I20" i="4"/>
  <c r="I21" i="4"/>
  <c r="I22" i="4"/>
  <c r="K22" i="4" s="1"/>
  <c r="I23" i="4"/>
  <c r="K23" i="4" s="1"/>
  <c r="I24" i="4"/>
  <c r="K24" i="4" s="1"/>
  <c r="I25" i="4"/>
  <c r="K25" i="4" s="1"/>
  <c r="I26" i="4"/>
  <c r="K26" i="4" s="1"/>
  <c r="I27" i="4"/>
  <c r="I28" i="4"/>
  <c r="K28" i="4" s="1"/>
  <c r="I29" i="4"/>
  <c r="K29" i="4" s="1"/>
  <c r="I30" i="4"/>
  <c r="K30" i="4" s="1"/>
  <c r="I31" i="4"/>
  <c r="K31" i="4" s="1"/>
  <c r="I32" i="4"/>
  <c r="K32" i="4" s="1"/>
  <c r="L25" i="10"/>
  <c r="K31" i="10"/>
  <c r="K32" i="10"/>
  <c r="K20" i="10"/>
  <c r="K19" i="10"/>
  <c r="L31" i="10"/>
  <c r="L19" i="10"/>
  <c r="L13" i="10"/>
  <c r="K14" i="10"/>
  <c r="K13" i="10"/>
  <c r="L10" i="9"/>
  <c r="L16" i="9"/>
  <c r="L22" i="9"/>
  <c r="L28" i="9"/>
  <c r="L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4" i="9"/>
  <c r="L10" i="8"/>
  <c r="L16" i="8"/>
  <c r="L22" i="8"/>
  <c r="L28" i="8"/>
  <c r="L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4" i="8"/>
  <c r="L16" i="6"/>
  <c r="L22" i="6"/>
  <c r="L28" i="6"/>
  <c r="L10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4" i="6"/>
  <c r="K2" i="2"/>
  <c r="L2" i="2"/>
  <c r="I32" i="10"/>
  <c r="I31" i="10"/>
  <c r="G7" i="10"/>
  <c r="G8" i="10"/>
  <c r="G9" i="10"/>
  <c r="G10" i="10"/>
  <c r="G11" i="10"/>
  <c r="G12" i="10"/>
  <c r="G13" i="10"/>
  <c r="G14" i="10"/>
  <c r="J14" i="10" s="1"/>
  <c r="G15" i="10"/>
  <c r="G16" i="10"/>
  <c r="G17" i="10"/>
  <c r="G18" i="10"/>
  <c r="G19" i="10"/>
  <c r="G20" i="10"/>
  <c r="J20" i="10" s="1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4" i="10"/>
  <c r="G5" i="10"/>
  <c r="G6" i="10"/>
  <c r="I20" i="10"/>
  <c r="I19" i="10"/>
  <c r="I14" i="10"/>
  <c r="I13" i="10"/>
  <c r="I7" i="10"/>
  <c r="J7" i="10" s="1"/>
  <c r="G10" i="9"/>
  <c r="G4" i="9"/>
  <c r="I4" i="9"/>
  <c r="I5" i="9"/>
  <c r="G5" i="9"/>
  <c r="J5" i="9" s="1"/>
  <c r="G6" i="9"/>
  <c r="G7" i="9"/>
  <c r="J7" i="9" s="1"/>
  <c r="G8" i="9"/>
  <c r="G9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8" i="9"/>
  <c r="G29" i="9"/>
  <c r="G31" i="9"/>
  <c r="J31" i="9" s="1"/>
  <c r="G32" i="9"/>
  <c r="J32" i="9" s="1"/>
  <c r="I6" i="9"/>
  <c r="I7" i="9"/>
  <c r="I8" i="9"/>
  <c r="I9" i="9"/>
  <c r="I10" i="9"/>
  <c r="I11" i="9"/>
  <c r="I12" i="9"/>
  <c r="J12" i="9" s="1"/>
  <c r="I13" i="9"/>
  <c r="J13" i="9" s="1"/>
  <c r="I14" i="9"/>
  <c r="I15" i="9"/>
  <c r="I16" i="9"/>
  <c r="I17" i="9"/>
  <c r="I18" i="9"/>
  <c r="I19" i="9"/>
  <c r="I20" i="9"/>
  <c r="I21" i="9"/>
  <c r="I22" i="9"/>
  <c r="J22" i="9" s="1"/>
  <c r="I23" i="9"/>
  <c r="J23" i="9" s="1"/>
  <c r="I24" i="9"/>
  <c r="I25" i="9"/>
  <c r="I26" i="9"/>
  <c r="I27" i="9"/>
  <c r="I28" i="9"/>
  <c r="I29" i="9"/>
  <c r="I31" i="9"/>
  <c r="I32" i="9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I4" i="8"/>
  <c r="I5" i="8"/>
  <c r="I6" i="8"/>
  <c r="I7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4" i="6"/>
  <c r="T35" i="6"/>
  <c r="R37" i="6"/>
  <c r="C8" i="11"/>
  <c r="D8" i="11"/>
  <c r="E8" i="11"/>
  <c r="F8" i="11"/>
  <c r="B8" i="11"/>
  <c r="D10" i="11"/>
  <c r="C9" i="11"/>
  <c r="D9" i="11"/>
  <c r="E9" i="11"/>
  <c r="C10" i="11"/>
  <c r="E10" i="11"/>
  <c r="C11" i="11"/>
  <c r="D11" i="11"/>
  <c r="E11" i="11"/>
  <c r="F11" i="11"/>
  <c r="F10" i="11"/>
  <c r="F9" i="11"/>
  <c r="B9" i="11"/>
  <c r="B10" i="11"/>
  <c r="B11" i="11"/>
  <c r="J31" i="10" l="1"/>
  <c r="J32" i="10"/>
  <c r="J19" i="10"/>
  <c r="J13" i="10"/>
  <c r="J6" i="9"/>
  <c r="J16" i="9"/>
  <c r="J29" i="9"/>
  <c r="J28" i="9"/>
  <c r="J21" i="9"/>
  <c r="J20" i="9"/>
  <c r="J4" i="9"/>
  <c r="J11" i="9"/>
  <c r="J18" i="9"/>
  <c r="J10" i="9"/>
  <c r="J19" i="9"/>
  <c r="J8" i="9"/>
  <c r="J17" i="9"/>
  <c r="J15" i="9"/>
  <c r="J14" i="9"/>
  <c r="J24" i="9"/>
  <c r="J25" i="9"/>
  <c r="J26" i="9"/>
  <c r="N40" i="8"/>
  <c r="N41" i="8"/>
  <c r="N42" i="8"/>
  <c r="F1" i="8"/>
  <c r="F33" i="8"/>
  <c r="G33" i="8" s="1"/>
  <c r="J33" i="8" s="1"/>
  <c r="F32" i="8"/>
  <c r="G32" i="8" s="1"/>
  <c r="J32" i="8" s="1"/>
  <c r="F31" i="8"/>
  <c r="G31" i="8" s="1"/>
  <c r="J31" i="8" s="1"/>
  <c r="F30" i="8"/>
  <c r="G30" i="8" s="1"/>
  <c r="J30" i="8" s="1"/>
  <c r="F29" i="8"/>
  <c r="G29" i="8" s="1"/>
  <c r="F28" i="8"/>
  <c r="G28" i="8" s="1"/>
  <c r="J28" i="8" s="1"/>
  <c r="F27" i="8"/>
  <c r="G27" i="8" s="1"/>
  <c r="J27" i="8" s="1"/>
  <c r="F26" i="8"/>
  <c r="G26" i="8" s="1"/>
  <c r="J26" i="8" s="1"/>
  <c r="F25" i="8"/>
  <c r="G25" i="8" s="1"/>
  <c r="J25" i="8" s="1"/>
  <c r="F24" i="8"/>
  <c r="F23" i="8"/>
  <c r="G23" i="8" s="1"/>
  <c r="F22" i="8"/>
  <c r="G22" i="8" s="1"/>
  <c r="J22" i="8" s="1"/>
  <c r="F21" i="8"/>
  <c r="G21" i="8" s="1"/>
  <c r="J21" i="8" s="1"/>
  <c r="F20" i="8"/>
  <c r="G20" i="8" s="1"/>
  <c r="J20" i="8" s="1"/>
  <c r="F19" i="8"/>
  <c r="G19" i="8" s="1"/>
  <c r="J19" i="8" s="1"/>
  <c r="F18" i="8"/>
  <c r="G18" i="8" s="1"/>
  <c r="J18" i="8" s="1"/>
  <c r="F17" i="8"/>
  <c r="G17" i="8" s="1"/>
  <c r="F16" i="8"/>
  <c r="G16" i="8" s="1"/>
  <c r="J16" i="8" s="1"/>
  <c r="F15" i="8"/>
  <c r="G15" i="8" s="1"/>
  <c r="J15" i="8" s="1"/>
  <c r="F14" i="8"/>
  <c r="F13" i="8"/>
  <c r="G13" i="8" s="1"/>
  <c r="J13" i="8" s="1"/>
  <c r="F12" i="8"/>
  <c r="G12" i="8" s="1"/>
  <c r="J12" i="8" s="1"/>
  <c r="F11" i="8"/>
  <c r="G11" i="8" s="1"/>
  <c r="F10" i="8"/>
  <c r="G10" i="8" s="1"/>
  <c r="J10" i="8" s="1"/>
  <c r="F9" i="8"/>
  <c r="G9" i="8" s="1"/>
  <c r="J9" i="8" s="1"/>
  <c r="F8" i="8"/>
  <c r="G8" i="8" s="1"/>
  <c r="F7" i="8"/>
  <c r="G7" i="8" s="1"/>
  <c r="J7" i="8" s="1"/>
  <c r="F6" i="8"/>
  <c r="G6" i="8" s="1"/>
  <c r="J6" i="8" s="1"/>
  <c r="F5" i="8"/>
  <c r="G5" i="8" s="1"/>
  <c r="F4" i="8"/>
  <c r="G4" i="8" s="1"/>
  <c r="J4" i="8" s="1"/>
  <c r="N5" i="6"/>
  <c r="O5" i="6" s="1"/>
  <c r="N6" i="6"/>
  <c r="O6" i="6" s="1"/>
  <c r="N7" i="6"/>
  <c r="O7" i="6" s="1"/>
  <c r="N8" i="6"/>
  <c r="O8" i="6" s="1"/>
  <c r="N9" i="6"/>
  <c r="O9" i="6" s="1"/>
  <c r="N10" i="6"/>
  <c r="O10" i="6" s="1"/>
  <c r="N11" i="6"/>
  <c r="O11" i="6" s="1"/>
  <c r="N12" i="6"/>
  <c r="O12" i="6" s="1"/>
  <c r="N13" i="6"/>
  <c r="N14" i="6"/>
  <c r="O14" i="6" s="1"/>
  <c r="N15" i="6"/>
  <c r="O15" i="6" s="1"/>
  <c r="N16" i="6"/>
  <c r="O16" i="6" s="1"/>
  <c r="N17" i="6"/>
  <c r="O17" i="6" s="1"/>
  <c r="N18" i="6"/>
  <c r="O18" i="6" s="1"/>
  <c r="N19" i="6"/>
  <c r="O19" i="6" s="1"/>
  <c r="N20" i="6"/>
  <c r="O20" i="6" s="1"/>
  <c r="N21" i="6"/>
  <c r="O21" i="6" s="1"/>
  <c r="N22" i="6"/>
  <c r="O22" i="6" s="1"/>
  <c r="N23" i="6"/>
  <c r="O23" i="6" s="1"/>
  <c r="N24" i="6"/>
  <c r="O24" i="6" s="1"/>
  <c r="N25" i="6"/>
  <c r="O25" i="6" s="1"/>
  <c r="N26" i="6"/>
  <c r="O26" i="6" s="1"/>
  <c r="N27" i="6"/>
  <c r="O27" i="6" s="1"/>
  <c r="N28" i="6"/>
  <c r="O28" i="6" s="1"/>
  <c r="N29" i="6"/>
  <c r="O29" i="6" s="1"/>
  <c r="N30" i="6"/>
  <c r="O30" i="6" s="1"/>
  <c r="N31" i="6"/>
  <c r="O31" i="6" s="1"/>
  <c r="N32" i="6"/>
  <c r="O32" i="6" s="1"/>
  <c r="N33" i="6"/>
  <c r="O33" i="6" s="1"/>
  <c r="N4" i="6"/>
  <c r="O4" i="6" s="1"/>
  <c r="F4" i="6"/>
  <c r="F5" i="6"/>
  <c r="F6" i="6"/>
  <c r="G6" i="6" s="1"/>
  <c r="J6" i="6" s="1"/>
  <c r="F7" i="6"/>
  <c r="G7" i="6" s="1"/>
  <c r="J7" i="6" s="1"/>
  <c r="F8" i="6"/>
  <c r="G8" i="6" s="1"/>
  <c r="J8" i="6" s="1"/>
  <c r="F9" i="6"/>
  <c r="G9" i="6" s="1"/>
  <c r="J9" i="6" s="1"/>
  <c r="F10" i="6"/>
  <c r="G10" i="6" s="1"/>
  <c r="J10" i="6" s="1"/>
  <c r="F11" i="6"/>
  <c r="G11" i="6" s="1"/>
  <c r="F12" i="6"/>
  <c r="G12" i="6" s="1"/>
  <c r="J12" i="6" s="1"/>
  <c r="F13" i="6"/>
  <c r="G13" i="6" s="1"/>
  <c r="F14" i="6"/>
  <c r="G14" i="6" s="1"/>
  <c r="J14" i="6" s="1"/>
  <c r="F15" i="6"/>
  <c r="G15" i="6" s="1"/>
  <c r="J15" i="6" s="1"/>
  <c r="F16" i="6"/>
  <c r="G16" i="6" s="1"/>
  <c r="J16" i="6" s="1"/>
  <c r="F17" i="6"/>
  <c r="G17" i="6" s="1"/>
  <c r="F18" i="6"/>
  <c r="G18" i="6" s="1"/>
  <c r="J18" i="6" s="1"/>
  <c r="F19" i="6"/>
  <c r="G19" i="6" s="1"/>
  <c r="J19" i="6" s="1"/>
  <c r="F20" i="6"/>
  <c r="G20" i="6" s="1"/>
  <c r="J20" i="6" s="1"/>
  <c r="F21" i="6"/>
  <c r="G21" i="6" s="1"/>
  <c r="J21" i="6" s="1"/>
  <c r="F22" i="6"/>
  <c r="G22" i="6" s="1"/>
  <c r="J22" i="6" s="1"/>
  <c r="F23" i="6"/>
  <c r="G23" i="6" s="1"/>
  <c r="F24" i="6"/>
  <c r="G24" i="6" s="1"/>
  <c r="J24" i="6" s="1"/>
  <c r="F25" i="6"/>
  <c r="G25" i="6" s="1"/>
  <c r="J25" i="6" s="1"/>
  <c r="F26" i="6"/>
  <c r="G26" i="6" s="1"/>
  <c r="J26" i="6" s="1"/>
  <c r="F27" i="6"/>
  <c r="G27" i="6" s="1"/>
  <c r="J27" i="6" s="1"/>
  <c r="F28" i="6"/>
  <c r="G28" i="6" s="1"/>
  <c r="J28" i="6" s="1"/>
  <c r="F29" i="6"/>
  <c r="G29" i="6" s="1"/>
  <c r="F30" i="6"/>
  <c r="G30" i="6" s="1"/>
  <c r="J30" i="6" s="1"/>
  <c r="F31" i="6"/>
  <c r="G31" i="6" s="1"/>
  <c r="J31" i="6" s="1"/>
  <c r="F32" i="6"/>
  <c r="G32" i="6" s="1"/>
  <c r="J32" i="6" s="1"/>
  <c r="F33" i="6"/>
  <c r="G33" i="6" s="1"/>
  <c r="J33" i="6" s="1"/>
  <c r="G4" i="6"/>
  <c r="J4" i="6" s="1"/>
  <c r="P42" i="10"/>
  <c r="O42" i="10"/>
  <c r="Q42" i="10" s="1"/>
  <c r="Q39" i="10"/>
  <c r="P40" i="10"/>
  <c r="O40" i="10"/>
  <c r="Q40" i="10" s="1"/>
  <c r="P39" i="10"/>
  <c r="O39" i="10"/>
  <c r="O38" i="10"/>
  <c r="Q38" i="10" s="1"/>
  <c r="G42" i="10"/>
  <c r="G38" i="10"/>
  <c r="G39" i="10"/>
  <c r="G40" i="10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" i="4"/>
  <c r="H32" i="7"/>
  <c r="H33" i="7"/>
  <c r="H35" i="7"/>
  <c r="H34" i="7"/>
  <c r="F3" i="2"/>
  <c r="G3" i="2" s="1"/>
  <c r="H3" i="2" s="1"/>
  <c r="J3" i="2" s="1"/>
  <c r="K3" i="2" s="1"/>
  <c r="F4" i="2"/>
  <c r="G4" i="2" s="1"/>
  <c r="H4" i="2" s="1"/>
  <c r="J4" i="2" s="1"/>
  <c r="K4" i="2" s="1"/>
  <c r="F5" i="2"/>
  <c r="G5" i="2" s="1"/>
  <c r="H5" i="2" s="1"/>
  <c r="J5" i="2" s="1"/>
  <c r="K5" i="2" s="1"/>
  <c r="F6" i="2"/>
  <c r="G6" i="2" s="1"/>
  <c r="H6" i="2" s="1"/>
  <c r="J6" i="2" s="1"/>
  <c r="K6" i="2" s="1"/>
  <c r="F7" i="2"/>
  <c r="G7" i="2" s="1"/>
  <c r="H7" i="2" s="1"/>
  <c r="J7" i="2" s="1"/>
  <c r="K7" i="2" s="1"/>
  <c r="F8" i="2"/>
  <c r="G8" i="2" s="1"/>
  <c r="H8" i="2" s="1"/>
  <c r="J8" i="2" s="1"/>
  <c r="K8" i="2" s="1"/>
  <c r="F9" i="2"/>
  <c r="G9" i="2" s="1"/>
  <c r="H9" i="2" s="1"/>
  <c r="J9" i="2" s="1"/>
  <c r="K9" i="2" s="1"/>
  <c r="F10" i="2"/>
  <c r="G10" i="2" s="1"/>
  <c r="H10" i="2" s="1"/>
  <c r="J10" i="2" s="1"/>
  <c r="K10" i="2" s="1"/>
  <c r="F11" i="2"/>
  <c r="G11" i="2" s="1"/>
  <c r="H11" i="2" s="1"/>
  <c r="J11" i="2" s="1"/>
  <c r="K11" i="2" s="1"/>
  <c r="F12" i="2"/>
  <c r="G12" i="2" s="1"/>
  <c r="H12" i="2" s="1"/>
  <c r="J12" i="2" s="1"/>
  <c r="K12" i="2" s="1"/>
  <c r="F13" i="2"/>
  <c r="G13" i="2" s="1"/>
  <c r="H13" i="2" s="1"/>
  <c r="J13" i="2" s="1"/>
  <c r="K13" i="2" s="1"/>
  <c r="F14" i="2"/>
  <c r="G14" i="2" s="1"/>
  <c r="H14" i="2" s="1"/>
  <c r="J14" i="2" s="1"/>
  <c r="K14" i="2" s="1"/>
  <c r="F15" i="2"/>
  <c r="G15" i="2" s="1"/>
  <c r="H15" i="2" s="1"/>
  <c r="J15" i="2" s="1"/>
  <c r="K15" i="2" s="1"/>
  <c r="F16" i="2"/>
  <c r="G16" i="2" s="1"/>
  <c r="H16" i="2" s="1"/>
  <c r="J16" i="2" s="1"/>
  <c r="K16" i="2" s="1"/>
  <c r="F17" i="2"/>
  <c r="G17" i="2" s="1"/>
  <c r="H17" i="2" s="1"/>
  <c r="J17" i="2" s="1"/>
  <c r="K17" i="2" s="1"/>
  <c r="F18" i="2"/>
  <c r="G18" i="2" s="1"/>
  <c r="H18" i="2" s="1"/>
  <c r="J18" i="2" s="1"/>
  <c r="K18" i="2" s="1"/>
  <c r="F19" i="2"/>
  <c r="G19" i="2" s="1"/>
  <c r="H19" i="2" s="1"/>
  <c r="J19" i="2" s="1"/>
  <c r="K19" i="2" s="1"/>
  <c r="F20" i="2"/>
  <c r="G20" i="2" s="1"/>
  <c r="H20" i="2" s="1"/>
  <c r="J20" i="2" s="1"/>
  <c r="K20" i="2" s="1"/>
  <c r="F21" i="2"/>
  <c r="G21" i="2" s="1"/>
  <c r="H21" i="2" s="1"/>
  <c r="J21" i="2" s="1"/>
  <c r="K21" i="2" s="1"/>
  <c r="F22" i="2"/>
  <c r="G22" i="2" s="1"/>
  <c r="H22" i="2" s="1"/>
  <c r="J22" i="2" s="1"/>
  <c r="K22" i="2" s="1"/>
  <c r="F23" i="2"/>
  <c r="G23" i="2" s="1"/>
  <c r="H23" i="2" s="1"/>
  <c r="J23" i="2" s="1"/>
  <c r="K23" i="2" s="1"/>
  <c r="F24" i="2"/>
  <c r="G24" i="2" s="1"/>
  <c r="H24" i="2" s="1"/>
  <c r="J24" i="2" s="1"/>
  <c r="K24" i="2" s="1"/>
  <c r="F25" i="2"/>
  <c r="G25" i="2" s="1"/>
  <c r="H25" i="2" s="1"/>
  <c r="J25" i="2" s="1"/>
  <c r="K25" i="2" s="1"/>
  <c r="F26" i="2"/>
  <c r="G26" i="2" s="1"/>
  <c r="H26" i="2" s="1"/>
  <c r="J26" i="2" s="1"/>
  <c r="K26" i="2" s="1"/>
  <c r="F27" i="2"/>
  <c r="G27" i="2" s="1"/>
  <c r="H27" i="2" s="1"/>
  <c r="J27" i="2" s="1"/>
  <c r="K27" i="2" s="1"/>
  <c r="F28" i="2"/>
  <c r="G28" i="2" s="1"/>
  <c r="H28" i="2" s="1"/>
  <c r="J28" i="2" s="1"/>
  <c r="K28" i="2" s="1"/>
  <c r="F29" i="2"/>
  <c r="G29" i="2" s="1"/>
  <c r="H29" i="2" s="1"/>
  <c r="J29" i="2" s="1"/>
  <c r="K29" i="2" s="1"/>
  <c r="F30" i="2"/>
  <c r="G30" i="2" s="1"/>
  <c r="H30" i="2" s="1"/>
  <c r="J30" i="2" s="1"/>
  <c r="K30" i="2" s="1"/>
  <c r="F31" i="2"/>
  <c r="G31" i="2" s="1"/>
  <c r="H31" i="2" s="1"/>
  <c r="J31" i="2" s="1"/>
  <c r="K31" i="2" s="1"/>
  <c r="G2" i="2"/>
  <c r="H2" i="2" s="1"/>
  <c r="J2" i="2" s="1"/>
  <c r="F40" i="4"/>
  <c r="M37" i="4"/>
  <c r="T36" i="6" l="1"/>
  <c r="J13" i="6"/>
  <c r="S38" i="10"/>
  <c r="S39" i="10"/>
  <c r="Q41" i="10"/>
  <c r="S42" i="10"/>
  <c r="O13" i="6"/>
  <c r="P13" i="6" s="1"/>
  <c r="R38" i="6"/>
  <c r="S40" i="10"/>
  <c r="G41" i="10"/>
  <c r="S41" i="10" s="1"/>
  <c r="G14" i="8"/>
  <c r="G24" i="8"/>
  <c r="J24" i="8" s="1"/>
  <c r="P22" i="6"/>
  <c r="P31" i="6"/>
  <c r="P30" i="6"/>
  <c r="P10" i="6"/>
  <c r="P29" i="6"/>
  <c r="P19" i="6"/>
  <c r="P9" i="6"/>
  <c r="P28" i="6"/>
  <c r="P18" i="6"/>
  <c r="P8" i="6"/>
  <c r="P7" i="6"/>
  <c r="P26" i="6"/>
  <c r="P16" i="6"/>
  <c r="P25" i="6"/>
  <c r="P15" i="6"/>
  <c r="P5" i="6"/>
  <c r="P33" i="6"/>
  <c r="P23" i="6"/>
  <c r="P32" i="6"/>
  <c r="P27" i="6"/>
  <c r="P17" i="6"/>
  <c r="P6" i="6"/>
  <c r="P12" i="6"/>
  <c r="P21" i="6"/>
  <c r="P11" i="6"/>
  <c r="P20" i="6"/>
  <c r="P4" i="6"/>
  <c r="P24" i="6"/>
  <c r="P14" i="6"/>
  <c r="L14" i="2"/>
  <c r="L20" i="2"/>
  <c r="L8" i="2"/>
  <c r="L26" i="2"/>
  <c r="L3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Casseres</author>
    <author>tc={CE2A7FBA-E0FB-2441-ACCF-F161DDBAA5BF}</author>
  </authors>
  <commentList>
    <comment ref="C2" authorId="0" shapeId="0" xr:uid="{2EE52916-B625-DE47-892E-FBD4ED2CDA2D}">
      <text>
        <r>
          <rPr>
            <b/>
            <sz val="10"/>
            <color rgb="FF000000"/>
            <rFont val="Tahoma"/>
            <family val="2"/>
          </rPr>
          <t>Lucas Casseres: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Table Eggs, not total eggs (hatching+table)
</t>
        </r>
      </text>
    </comment>
    <comment ref="E2" authorId="0" shapeId="0" xr:uid="{FA45E589-888D-C348-B9F3-20FD2E62B788}">
      <text>
        <r>
          <rPr>
            <b/>
            <sz val="10"/>
            <color rgb="FF000000"/>
            <rFont val="Tahoma"/>
            <family val="2"/>
          </rPr>
          <t>Lucas Casseres: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For the ones that had the data not available for table eggs, it was considered total eggs for the state</t>
        </r>
      </text>
    </comment>
    <comment ref="F2" authorId="0" shapeId="0" xr:uid="{2C6DBABA-944C-4542-8DEB-0948D22E8B1C}">
      <text>
        <r>
          <rPr>
            <b/>
            <sz val="10"/>
            <color rgb="FF000000"/>
            <rFont val="Tahoma"/>
            <family val="2"/>
          </rPr>
          <t>Lucas Casseres: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Assumed 57 grams as the average weight of an egg</t>
        </r>
      </text>
    </comment>
    <comment ref="G2" authorId="1" shapeId="0" xr:uid="{CE2A7FBA-E0FB-2441-ACCF-F161DDBAA5BF}">
      <text>
        <t>[Threaded comment]
Your version of Excel allows you to read this threaded comment; however, any edits to it will get removed if the file is opened in a newer version of Excel. Learn more: https://go.microsoft.com/fwlink/?linkid=870924
Comment:
    I am considering all the eggs (hatched+table). PA is the state with more eggs in general (more then the sum of the others) and its ratio of table eggs is a 16:1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tc={85D45ED4-B301-8046-B7F3-C20D846ABCB2}</author>
    <author>tc={0C30FCDF-3DDC-1C4E-A834-E73FC9E0C7C4}</author>
  </authors>
  <commentList>
    <comment ref="M4" authorId="0" shapeId="0" xr:uid="{85D45ED4-B301-8046-B7F3-C20D846ABC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repeated just because it was not disclosed
</t>
      </text>
    </comment>
    <comment ref="M10" authorId="1" shapeId="0" xr:uid="{0C30FCDF-3DDC-1C4E-A834-E73FC9E0C7C4}">
      <text>
        <t>[Threaded comment]
Your version of Excel allows you to read this threaded comment; however, any edits to it will get removed if the file is opened in a newer version of Excel. Learn more: https://go.microsoft.com/fwlink/?linkid=870924
Comment:
    I repeated because it was not disclosed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tc={794E8DFC-BCD6-8247-84C8-77355FD744EB}</author>
    <author>tc={CE956EFD-CBE5-A249-AED9-FAC01DF51AFC}</author>
  </authors>
  <commentList>
    <comment ref="E8" authorId="0" shapeId="0" xr:uid="{794E8DFC-BCD6-8247-84C8-77355FD744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Copied because it was not disclosed
</t>
      </text>
    </comment>
    <comment ref="E14" authorId="1" shapeId="0" xr:uid="{CE956EFD-CBE5-A249-AED9-FAC01DF51A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Copied because it was not disclosed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tc={C6A77106-A402-D34F-B7A5-3830805713BB}</author>
    <author>tc={231F5136-A3B7-9943-9478-721DB08D17F7}</author>
    <author>tc={4C0419BA-1C3E-5841-9B68-173E35F58DE6}</author>
    <author>tc={78BE8E30-B892-424F-974F-972FCDBD79A0}</author>
  </authors>
  <commentList>
    <comment ref="E9" authorId="0" shapeId="0" xr:uid="{C6A77106-A402-D34F-B7A5-3830805713BB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year 2017 to not be empty due to not informed data</t>
      </text>
    </comment>
    <comment ref="E27" authorId="1" shapeId="0" xr:uid="{231F5136-A3B7-9943-9478-721DB08D17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copied from 2012 because it was not disclosed
</t>
      </text>
    </comment>
    <comment ref="E30" authorId="2" shapeId="0" xr:uid="{4C0419BA-1C3E-5841-9B68-173E35F58DE6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2007 because it was not disclosed</t>
      </text>
    </comment>
    <comment ref="E33" authorId="3" shapeId="0" xr:uid="{78BE8E30-B892-424F-974F-972FCDBD79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copied from 2012 because it was not disclosed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Casseres</author>
  </authors>
  <commentList>
    <comment ref="S37" authorId="0" shapeId="0" xr:uid="{3DFA47C9-30D7-D243-B761-D6EF835D3733}">
      <text>
        <r>
          <rPr>
            <b/>
            <sz val="10"/>
            <color rgb="FF000000"/>
            <rFont val="Tahoma"/>
            <family val="2"/>
          </rPr>
          <t>Lucas Casseres: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This should be multiplied by the slaughtered population of each state to get an approximation
</t>
        </r>
      </text>
    </comment>
  </commentList>
</comments>
</file>

<file path=xl/sharedStrings.xml><?xml version="1.0" encoding="utf-8"?>
<sst xmlns="http://schemas.openxmlformats.org/spreadsheetml/2006/main" count="851" uniqueCount="137">
  <si>
    <t>Milk</t>
  </si>
  <si>
    <t>Beef</t>
  </si>
  <si>
    <t>Swine</t>
  </si>
  <si>
    <t>Sheep</t>
  </si>
  <si>
    <t>Horse</t>
  </si>
  <si>
    <t>Layers</t>
  </si>
  <si>
    <t>Broilers</t>
  </si>
  <si>
    <t>Turkey</t>
  </si>
  <si>
    <t>Goats</t>
  </si>
  <si>
    <t>State</t>
  </si>
  <si>
    <t>Delaware</t>
  </si>
  <si>
    <t>Maryland</t>
  </si>
  <si>
    <t>New York</t>
  </si>
  <si>
    <t>Pennsylvania</t>
  </si>
  <si>
    <t>Virginia</t>
  </si>
  <si>
    <t>West Virginia</t>
  </si>
  <si>
    <t>Meat</t>
  </si>
  <si>
    <t>Dollar per Hundredweight</t>
  </si>
  <si>
    <t>Meat sales</t>
  </si>
  <si>
    <t>Pounds of meat</t>
  </si>
  <si>
    <t>kg of Meat</t>
  </si>
  <si>
    <t>N of animals</t>
  </si>
  <si>
    <t>kg of meat/animal.yr</t>
  </si>
  <si>
    <t>Hundredweight Meat</t>
  </si>
  <si>
    <t>Year</t>
  </si>
  <si>
    <t>Source</t>
  </si>
  <si>
    <t>https://www.fmma30.com/MailboxPrices/2017MailboxPrices.pdf</t>
  </si>
  <si>
    <t>https://www.fmma30.com/MailboxPrices/2012MailboxPrices.pdf</t>
  </si>
  <si>
    <t>CENSUS</t>
  </si>
  <si>
    <t>https://quickstats.nass.usda.gov/results/093ABCF1-A9C9-303A-BA6C-F11CAE4396F9</t>
  </si>
  <si>
    <t>https://quickstats.nass.usda.gov/results/AB7619F7-86EA-3D8E-B254-ECC6CEAF0340</t>
  </si>
  <si>
    <t>https://quickstats.nass.usda.gov/results/373B206D-DF26-3B5A-BB4E-678C0DF74288</t>
  </si>
  <si>
    <t>https://quickstats.nass.usda.gov/results/0ED9CF59-9951-363B-A3A3-54214EAE1001</t>
  </si>
  <si>
    <t>https://www.fmma30.com/MailboxPrices/2007MailboxPrices.pdf</t>
  </si>
  <si>
    <t>https://www.fmma30.com/MailboxPrices/2002MailboxPrices.pdf</t>
  </si>
  <si>
    <t>https://www.fmma30.com/MailboxPrices/2022MailboxPrices.pdf</t>
  </si>
  <si>
    <t>https://quickstats.nass.usda.gov/results/28867FA2-AF7E-36D2-86DA-1A12A280DA34</t>
  </si>
  <si>
    <t>Source_Price</t>
  </si>
  <si>
    <t>Source_Sales</t>
  </si>
  <si>
    <t>Row Labels</t>
  </si>
  <si>
    <t>Grand Total</t>
  </si>
  <si>
    <t>Meat (kg)</t>
  </si>
  <si>
    <t>Eggs</t>
  </si>
  <si>
    <t>Total Egg production (million)</t>
  </si>
  <si>
    <t>Total kg of eggs</t>
  </si>
  <si>
    <t>Obs</t>
  </si>
  <si>
    <t>not available</t>
  </si>
  <si>
    <t>https://downloads.usda.library.cornell.edu/usda-esmis/files/1v53jw96n/j9603p32q/tx31s596z/ckegan24.pdf</t>
  </si>
  <si>
    <t>https://downloads.usda.library.cornell.edu/usda-esmis/files/1v53jw96n/m326m852c/dz010x51j/ckegan19.pdf</t>
  </si>
  <si>
    <t>https://downloads.usda.library.cornell.edu/usda-esmis/files/1v53jw96n/h702q894t/h128nh539/ChickEgg-01-29-2004.pdf</t>
  </si>
  <si>
    <t>https://downloads.usda.library.cornell.edu/usda-esmis/files/pg15bd88s/kd17cw364/qn59q6557/PoulSlauSu-02-25-2009.pdf</t>
  </si>
  <si>
    <t>kg of Meat (e+6)</t>
  </si>
  <si>
    <t>Sum of N of animals (e+3)</t>
  </si>
  <si>
    <t>Sum of kg of meat/animal.yr (e+3)</t>
  </si>
  <si>
    <t>Sum of kg of Meat (e+6)</t>
  </si>
  <si>
    <t>Sum of Sum of N of animals (e+3)</t>
  </si>
  <si>
    <t>Sum of Sum of kg of meat/animal.yr (e+3)</t>
  </si>
  <si>
    <t>Column Labels</t>
  </si>
  <si>
    <t>Total Sum of kg of Meat (e+6)</t>
  </si>
  <si>
    <t>Total Sum of Sum of N of animals (e+3)</t>
  </si>
  <si>
    <t>Total Sum of Sum of kg of meat/animal.yr (e+3)</t>
  </si>
  <si>
    <t>Average of kg of meat/animal.yr</t>
  </si>
  <si>
    <t>Averagekg of meat/animal.yr</t>
  </si>
  <si>
    <t>https://downloads.usda.library.cornell.edu/usda-esmis/files/1v53jw96n/s7526f739/g445cg75q/ChickEgg-02-27-2014.pdf</t>
  </si>
  <si>
    <t>Total Egg produced</t>
  </si>
  <si>
    <t>Table egg produced</t>
  </si>
  <si>
    <t>Sum of Total kg of eggs</t>
  </si>
  <si>
    <t>average egg weight US (g)</t>
  </si>
  <si>
    <t>https://downloads.usda.library.cornell.edu/usda-esmis/files/pg15bd88s/m613p944x/ht24xx05j/pslaan23.pdf</t>
  </si>
  <si>
    <t>Total Meat production (million)</t>
  </si>
  <si>
    <t>Total Meat production (thousand pounds)</t>
  </si>
  <si>
    <t>no info</t>
  </si>
  <si>
    <t>https://downloads.usda.library.cornell.edu/usda-esmis/files/pg15bd88s/br86b638d/4f16c564f/PoulSlauSu-02-26-2018.pdf</t>
  </si>
  <si>
    <t>https://downloads.usda.library.cornell.edu/usda-esmis/files/pg15bd88s/qr46r331w/c534fr71b/PoulSlauSu-02-25-2013.pdf</t>
  </si>
  <si>
    <t>https://downloads.usda.library.cornell.edu/usda-esmis/files/pg15bd88s/cn69m649b/ht24wn22c/PoulSlauSu-03-07-2003.pdf</t>
  </si>
  <si>
    <t>Total Meat production certified (thousand pounds)</t>
  </si>
  <si>
    <t>Total live weight (certified)</t>
  </si>
  <si>
    <t>Total kg of meats certified</t>
  </si>
  <si>
    <t>not informed</t>
  </si>
  <si>
    <t>Sum of Total kg of meats certified</t>
  </si>
  <si>
    <t>Mean</t>
  </si>
  <si>
    <t>Live weight/certified</t>
  </si>
  <si>
    <t>-</t>
  </si>
  <si>
    <t>Average live weight (pounds)</t>
  </si>
  <si>
    <t>Multiplier</t>
  </si>
  <si>
    <t>Summed w Delaware</t>
  </si>
  <si>
    <t>Total kg of Cattle Meat</t>
  </si>
  <si>
    <t>Total kg of Cattle Meat Total Live weight</t>
  </si>
  <si>
    <t>https://downloads.usda.library.cornell.edu/usda-esmis/files/r207tp32d/b5644v43h/9z9032402/LiveSlauSu-03-07-2003.pdf</t>
  </si>
  <si>
    <t>https://downloads.usda.library.cornell.edu/usda-esmis/files/r207tp32d/3484zk55p/j098zd503/LiveSlauSu-03-07-2008_revision.pdf</t>
  </si>
  <si>
    <t>https://downloads.usda.library.cornell.edu/usda-esmis/files/r207tp32d/8p58qs65g/g445dv089/lsan0423.pdf</t>
  </si>
  <si>
    <t>https://downloads.usda.library.cornell.edu/usda-esmis/files/r207tp32d/cn69m6457/pc289m639/LiveSlauSu-04-18-2018.pdf</t>
  </si>
  <si>
    <t>https://downloads.usda.library.cornell.edu/usda-esmis/files/r207tp32d/cj82k997g/vm40xv299/LiveSlauSu-04-22-2013.pdf</t>
  </si>
  <si>
    <t>Total Meat kg</t>
  </si>
  <si>
    <t>Calf</t>
  </si>
  <si>
    <t>Percentage of Cattle Live Weight Become Meat</t>
  </si>
  <si>
    <t>Percentage of Calf Live Weight Become Meat</t>
  </si>
  <si>
    <t>https://extension.psu.edu/understanding-beef-carcass-yields-and-losses-during-processing</t>
  </si>
  <si>
    <t>Sum of Total Meat kg</t>
  </si>
  <si>
    <t>Pork</t>
  </si>
  <si>
    <t>Sum of Total kg of Cattle Meat</t>
  </si>
  <si>
    <t>Population</t>
  </si>
  <si>
    <t>Commodity</t>
  </si>
  <si>
    <t>Plant commodity for humans</t>
  </si>
  <si>
    <t>Plant commodity for animals</t>
  </si>
  <si>
    <t>Manure emissions</t>
  </si>
  <si>
    <t>Total</t>
  </si>
  <si>
    <t>Total Animals</t>
  </si>
  <si>
    <t>Animal head</t>
  </si>
  <si>
    <t>Cattle (live weight)</t>
  </si>
  <si>
    <t>Total Population</t>
  </si>
  <si>
    <t>Total Egg per layer</t>
  </si>
  <si>
    <t>https://downloads.usda.library.cornell.edu/usda-esmis/files/1v53jw96n/d217qr90z/0c483n00q/ChickEgg-02-28-2008.pdf</t>
  </si>
  <si>
    <t>Animals Slaughtered</t>
  </si>
  <si>
    <t>beef</t>
  </si>
  <si>
    <t>layers</t>
  </si>
  <si>
    <t>broilers</t>
  </si>
  <si>
    <t>turkey</t>
  </si>
  <si>
    <t>Animal commodity</t>
  </si>
  <si>
    <t>kg animal commodity per animal</t>
  </si>
  <si>
    <t>fattened cattle</t>
  </si>
  <si>
    <t>number of animals</t>
  </si>
  <si>
    <t>slaughtered turkey</t>
  </si>
  <si>
    <t>slaughtered pork</t>
  </si>
  <si>
    <t>slaughtered chicken</t>
  </si>
  <si>
    <t>pork</t>
  </si>
  <si>
    <t>eggs</t>
  </si>
  <si>
    <t>milk</t>
  </si>
  <si>
    <t>milk cows</t>
  </si>
  <si>
    <t>Animal</t>
  </si>
  <si>
    <t>year</t>
  </si>
  <si>
    <t>animal</t>
  </si>
  <si>
    <t>sum(values)</t>
  </si>
  <si>
    <t>dairy</t>
  </si>
  <si>
    <t>swine</t>
  </si>
  <si>
    <t>Showing 1 to 30 of 30 entries, 3 total columns</t>
  </si>
  <si>
    <t>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</si>
</sst>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E+00"/>
    <numFmt numFmtId="167" formatCode="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Geneva"/>
      <family val="2"/>
    </font>
    <font>
      <sz val="10"/>
      <color rgb="FFFFFFFF"/>
      <name val="Geneva"/>
      <family val="2"/>
    </font>
    <font>
      <sz val="10"/>
      <color theme="1"/>
      <name val="Geneva"/>
      <family val="2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rgb="FF467886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Aptos Narrow"/>
      <scheme val="minor"/>
    </font>
    <font>
      <sz val="12"/>
      <color rgb="FFC00000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333333"/>
      <name val="Lucida Grande"/>
      <family val="2"/>
    </font>
    <font>
      <b/>
      <sz val="10"/>
      <color rgb="FF000000"/>
      <name val="Lucida Grande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5" fillId="0" borderId="0" xfId="0" applyFont="1"/>
    <xf numFmtId="3" fontId="0" fillId="0" borderId="0" xfId="0" applyNumberFormat="1"/>
    <xf numFmtId="0" fontId="6" fillId="0" borderId="0" xfId="0" applyFont="1"/>
    <xf numFmtId="11" fontId="0" fillId="0" borderId="0" xfId="0" applyNumberFormat="1"/>
    <xf numFmtId="0" fontId="0" fillId="2" borderId="0" xfId="0" applyFill="1"/>
    <xf numFmtId="0" fontId="8" fillId="0" borderId="0" xfId="2"/>
    <xf numFmtId="0" fontId="9" fillId="0" borderId="0" xfId="0" applyFont="1"/>
    <xf numFmtId="0" fontId="4" fillId="0" borderId="0" xfId="0" applyFont="1"/>
    <xf numFmtId="0" fontId="9" fillId="3" borderId="0" xfId="0" applyFont="1" applyFill="1"/>
    <xf numFmtId="11" fontId="9" fillId="0" borderId="0" xfId="0" applyNumberFormat="1" applyFont="1"/>
    <xf numFmtId="4" fontId="0" fillId="0" borderId="0" xfId="0" applyNumberFormat="1"/>
    <xf numFmtId="43" fontId="9" fillId="0" borderId="0" xfId="0" applyNumberFormat="1" applyFont="1"/>
    <xf numFmtId="0" fontId="1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4" borderId="2" xfId="0" applyFont="1" applyFill="1" applyBorder="1"/>
    <xf numFmtId="1" fontId="0" fillId="0" borderId="0" xfId="0" applyNumberFormat="1"/>
    <xf numFmtId="0" fontId="9" fillId="2" borderId="0" xfId="0" applyFont="1" applyFill="1"/>
    <xf numFmtId="165" fontId="9" fillId="2" borderId="0" xfId="0" applyNumberFormat="1" applyFont="1" applyFill="1"/>
    <xf numFmtId="44" fontId="9" fillId="2" borderId="0" xfId="0" applyNumberFormat="1" applyFont="1" applyFill="1"/>
    <xf numFmtId="0" fontId="9" fillId="5" borderId="0" xfId="0" applyFont="1" applyFill="1"/>
    <xf numFmtId="11" fontId="9" fillId="5" borderId="0" xfId="0" applyNumberFormat="1" applyFont="1" applyFill="1"/>
    <xf numFmtId="0" fontId="0" fillId="5" borderId="0" xfId="0" applyFill="1"/>
    <xf numFmtId="164" fontId="9" fillId="0" borderId="0" xfId="1" applyNumberFormat="1" applyFont="1"/>
    <xf numFmtId="164" fontId="9" fillId="0" borderId="1" xfId="1" applyNumberFormat="1" applyFont="1" applyBorder="1"/>
    <xf numFmtId="11" fontId="9" fillId="0" borderId="0" xfId="1" applyNumberFormat="1" applyFont="1"/>
    <xf numFmtId="11" fontId="0" fillId="0" borderId="0" xfId="1" applyNumberFormat="1" applyFont="1"/>
    <xf numFmtId="0" fontId="3" fillId="0" borderId="0" xfId="0" applyFont="1"/>
    <xf numFmtId="10" fontId="0" fillId="0" borderId="0" xfId="0" applyNumberFormat="1"/>
    <xf numFmtId="166" fontId="9" fillId="0" borderId="0" xfId="0" applyNumberFormat="1" applyFont="1"/>
    <xf numFmtId="166" fontId="0" fillId="0" borderId="0" xfId="0" applyNumberFormat="1"/>
    <xf numFmtId="0" fontId="13" fillId="0" borderId="1" xfId="0" applyFont="1" applyBorder="1"/>
    <xf numFmtId="0" fontId="0" fillId="0" borderId="1" xfId="0" applyBorder="1"/>
    <xf numFmtId="3" fontId="14" fillId="0" borderId="0" xfId="0" applyNumberFormat="1" applyFont="1"/>
    <xf numFmtId="0" fontId="14" fillId="0" borderId="0" xfId="0" applyFont="1"/>
    <xf numFmtId="0" fontId="2" fillId="0" borderId="0" xfId="0" applyFont="1"/>
    <xf numFmtId="11" fontId="0" fillId="0" borderId="1" xfId="0" applyNumberFormat="1" applyBorder="1"/>
    <xf numFmtId="11" fontId="2" fillId="0" borderId="0" xfId="0" applyNumberFormat="1" applyFont="1"/>
    <xf numFmtId="2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9" fontId="0" fillId="0" borderId="0" xfId="3" applyFont="1"/>
    <xf numFmtId="3" fontId="2" fillId="0" borderId="0" xfId="0" applyNumberFormat="1" applyFont="1"/>
    <xf numFmtId="43" fontId="9" fillId="0" borderId="0" xfId="1" applyFont="1"/>
    <xf numFmtId="43" fontId="0" fillId="0" borderId="0" xfId="1" applyFont="1" applyAlignment="1">
      <alignment horizontal="center"/>
    </xf>
    <xf numFmtId="0" fontId="15" fillId="0" borderId="0" xfId="0" applyFont="1"/>
    <xf numFmtId="0" fontId="17" fillId="0" borderId="0" xfId="0" applyFont="1"/>
    <xf numFmtId="11" fontId="16" fillId="0" borderId="0" xfId="0" applyNumberFormat="1" applyFont="1"/>
    <xf numFmtId="0" fontId="15" fillId="0" borderId="1" xfId="0" applyFont="1" applyBorder="1"/>
    <xf numFmtId="11" fontId="16" fillId="0" borderId="1" xfId="0" applyNumberFormat="1" applyFont="1" applyBorder="1"/>
    <xf numFmtId="0" fontId="15" fillId="0" borderId="3" xfId="0" applyFont="1" applyBorder="1"/>
    <xf numFmtId="0" fontId="19" fillId="0" borderId="0" xfId="0" applyFont="1"/>
    <xf numFmtId="0" fontId="20" fillId="0" borderId="0" xfId="0" applyFont="1"/>
    <xf numFmtId="0" fontId="19" fillId="0" borderId="3" xfId="0" applyFont="1" applyBorder="1"/>
    <xf numFmtId="0" fontId="19" fillId="0" borderId="1" xfId="0" applyFont="1" applyBorder="1"/>
    <xf numFmtId="0" fontId="20" fillId="0" borderId="1" xfId="0" applyFont="1" applyBorder="1"/>
    <xf numFmtId="0" fontId="16" fillId="0" borderId="0" xfId="0" applyFont="1"/>
    <xf numFmtId="167" fontId="0" fillId="0" borderId="0" xfId="0" applyNumberFormat="1"/>
    <xf numFmtId="0" fontId="19" fillId="0" borderId="3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[Foodproductioncbwcsnapni.xlsx]Beef!PivotTable8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Beef!$B$37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Beef!$A$38:$A$43</c:f>
              <c:strCache>
                <c:ptCount val="5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2022</c:v>
                </c:pt>
              </c:strCache>
            </c:strRef>
          </c:cat>
          <c:val>
            <c:numRef>
              <c:f>Beef!$B$38:$B$43</c:f>
              <c:numCache>
                <c:formatCode>General</c:formatCode>
                <c:ptCount val="5"/>
                <c:pt idx="0">
                  <c:v>697199063.784235</c:v>
                </c:pt>
                <c:pt idx="1">
                  <c:v>623341437.52664864</c:v>
                </c:pt>
                <c:pt idx="2">
                  <c:v>602013952.51789427</c:v>
                </c:pt>
                <c:pt idx="3">
                  <c:v>637645036.33279204</c:v>
                </c:pt>
                <c:pt idx="4">
                  <c:v>716237265.37906778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C-1449-AD72-0672AFD88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510128"/>
        <c:axId val="672511840"/>
      </c:barChart>
      <c:catAx>
        <c:axId val="67251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11840"/>
        <c:crosses val="autoZero"/>
        <c:auto val="1"/>
        <c:lblAlgn val="ctr"/>
        <c:lblOffset val="100"/>
        <c:noMultiLvlLbl val="0"/>
      </c:catAx>
      <c:valAx>
        <c:axId val="67251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1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Pork!$E$20:$E$32</c:f>
              <c:numCache>
                <c:formatCode>0.00E+00</c:formatCode>
                <c:ptCount val="13"/>
                <c:pt idx="0">
                  <c:v>676192</c:v>
                </c:pt>
                <c:pt idx="1">
                  <c:v>2084</c:v>
                </c:pt>
                <c:pt idx="2">
                  <c:v>4352</c:v>
                </c:pt>
                <c:pt idx="3">
                  <c:v>0</c:v>
                </c:pt>
                <c:pt idx="4">
                  <c:v>5390</c:v>
                </c:pt>
                <c:pt idx="5">
                  <c:v>746889</c:v>
                </c:pt>
                <c:pt idx="6">
                  <c:v>624870</c:v>
                </c:pt>
                <c:pt idx="7">
                  <c:v>2138</c:v>
                </c:pt>
                <c:pt idx="8">
                  <c:v>5207</c:v>
                </c:pt>
                <c:pt idx="9">
                  <c:v>0</c:v>
                </c:pt>
                <c:pt idx="10">
                  <c:v>7034</c:v>
                </c:pt>
                <c:pt idx="11">
                  <c:v>648983</c:v>
                </c:pt>
                <c:pt idx="12">
                  <c:v>1064738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1-E942-BF0D-431CF07BB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0042447"/>
        <c:axId val="1920199807"/>
      </c:lineChart>
      <c:catAx>
        <c:axId val="1920042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199807"/>
        <c:crosses val="autoZero"/>
        <c:auto val="1"/>
        <c:lblAlgn val="ctr"/>
        <c:lblOffset val="100"/>
        <c:noMultiLvlLbl val="0"/>
      </c:catAx>
      <c:valAx>
        <c:axId val="192019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04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Plant commodity for humans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4711F31-37BA-5141-ADB3-0971B30FB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A78-C44C-BD7C-5A8ABE5FA1A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06E3E5-2253-1C4E-A6BC-21EB24C46B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A78-C44C-BD7C-5A8ABE5FA1A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6585846-CF70-A549-BE41-8FD656F9E2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A78-C44C-BD7C-5A8ABE5FA1A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608425C-D723-E347-B671-A3EAAC4B89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A78-C44C-BD7C-5A8ABE5FA1A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4001247-F0A2-CA41-869A-1DAC6ADBDC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A78-C44C-BD7C-5A8ABE5FA1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Sheet1!$B$4:$F$4</c:f>
              <c:numCache>
                <c:formatCode>General</c:formatCode>
                <c:ptCount val="5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2022</c:v>
                </c:pt>
              </c:numCache>
            </c:numRef>
          </c:cat>
          <c:val>
            <c:numRef>
              <c:f>Sheet1!$B$5:$F$5</c:f>
              <c:numCache>
                <c:formatCode>0.00E+00</c:formatCode>
                <c:ptCount val="5"/>
                <c:pt idx="0">
                  <c:v>17207291</c:v>
                </c:pt>
                <c:pt idx="1">
                  <c:v>17478361</c:v>
                </c:pt>
                <c:pt idx="2">
                  <c:v>19748152</c:v>
                </c:pt>
                <c:pt idx="3">
                  <c:v>19337041</c:v>
                </c:pt>
                <c:pt idx="4">
                  <c:v>20377922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Sheet1!$B$9:$F$9</c15:f>
                <c15:dlblRangeCache>
                  <c:ptCount val="5"/>
                  <c:pt idx="0">
                    <c:v>3%</c:v>
                  </c:pt>
                  <c:pt idx="1">
                    <c:v>3%</c:v>
                  </c:pt>
                  <c:pt idx="2">
                    <c:v>4%</c:v>
                  </c:pt>
                  <c:pt idx="3">
                    <c:v>3%</c:v>
                  </c:pt>
                  <c:pt idx="4">
                    <c:v>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A78-C44C-BD7C-5A8ABE5FA1AE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Plant commodity for animals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BAE36ED-1F85-AD4C-AC39-15E5EC007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A78-C44C-BD7C-5A8ABE5FA1A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925267C-D21E-0B4E-ADF0-FD8F073913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A78-C44C-BD7C-5A8ABE5FA1A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08482B1-6839-FF4F-9BE0-AA39A294DC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A78-C44C-BD7C-5A8ABE5FA1A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B46052C-AAD5-A649-8F8F-1ED17B5E4D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A78-C44C-BD7C-5A8ABE5FA1A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A09F4D8-1DA1-1841-9B61-A5D6CCB788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A78-C44C-BD7C-5A8ABE5FA1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Sheet1!$B$4:$F$4</c:f>
              <c:numCache>
                <c:formatCode>General</c:formatCode>
                <c:ptCount val="5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2022</c:v>
                </c:pt>
              </c:numCache>
            </c:numRef>
          </c:cat>
          <c:val>
            <c:numRef>
              <c:f>Sheet1!$B$6:$F$6</c:f>
              <c:numCache>
                <c:formatCode>0.00E+00</c:formatCode>
                <c:ptCount val="5"/>
                <c:pt idx="0">
                  <c:v>324142487</c:v>
                </c:pt>
                <c:pt idx="1">
                  <c:v>327368648</c:v>
                </c:pt>
                <c:pt idx="2">
                  <c:v>362230135</c:v>
                </c:pt>
                <c:pt idx="3">
                  <c:v>380882215</c:v>
                </c:pt>
                <c:pt idx="4">
                  <c:v>355554156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Sheet1!$B$10:$F$10</c15:f>
                <c15:dlblRangeCache>
                  <c:ptCount val="5"/>
                  <c:pt idx="0">
                    <c:v>60%</c:v>
                  </c:pt>
                  <c:pt idx="1">
                    <c:v>62%</c:v>
                  </c:pt>
                  <c:pt idx="2">
                    <c:v>65%</c:v>
                  </c:pt>
                  <c:pt idx="3">
                    <c:v>67%</c:v>
                  </c:pt>
                  <c:pt idx="4">
                    <c:v>66%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1A78-C44C-BD7C-5A8ABE5FA1AE}"/>
            </c:ext>
          </c:extLst>
        </c:ser>
        <c:ser>
          <c:idx val="2"/>
          <c:order val="2"/>
          <c:tx>
            <c:strRef>
              <c:f>Sheet1!$A$7</c:f>
              <c:strCache>
                <c:ptCount val="1"/>
                <c:pt idx="0">
                  <c:v>Manure emissions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E2A7FF8-E251-F741-95F5-931374C4CC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A78-C44C-BD7C-5A8ABE5FA1A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77D0C3-438B-ED4F-AD0B-26434B8497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A78-C44C-BD7C-5A8ABE5FA1A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9ACB12-6AEE-9E40-B8BF-0A248E8F0F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A78-C44C-BD7C-5A8ABE5FA1A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BB2C60-A97F-FB42-AA41-6E55A08EAE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A78-C44C-BD7C-5A8ABE5FA1A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38A960E-26FC-FC4E-A096-C241FAB3F1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A78-C44C-BD7C-5A8ABE5FA1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Sheet1!$B$4:$F$4</c:f>
              <c:numCache>
                <c:formatCode>General</c:formatCode>
                <c:ptCount val="5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2022</c:v>
                </c:pt>
              </c:numCache>
            </c:numRef>
          </c:cat>
          <c:val>
            <c:numRef>
              <c:f>Sheet1!$B$7:$F$7</c:f>
              <c:numCache>
                <c:formatCode>0.00E+00</c:formatCode>
                <c:ptCount val="5"/>
                <c:pt idx="0">
                  <c:v>201121569</c:v>
                </c:pt>
                <c:pt idx="1">
                  <c:v>184628291</c:v>
                </c:pt>
                <c:pt idx="2">
                  <c:v>173426384</c:v>
                </c:pt>
                <c:pt idx="3">
                  <c:v>170707915</c:v>
                </c:pt>
                <c:pt idx="4">
                  <c:v>158904232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Sheet1!$B$11:$F$11</c15:f>
                <c15:dlblRangeCache>
                  <c:ptCount val="5"/>
                  <c:pt idx="0">
                    <c:v>37%</c:v>
                  </c:pt>
                  <c:pt idx="1">
                    <c:v>35%</c:v>
                  </c:pt>
                  <c:pt idx="2">
                    <c:v>31%</c:v>
                  </c:pt>
                  <c:pt idx="3">
                    <c:v>30%</c:v>
                  </c:pt>
                  <c:pt idx="4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1A78-C44C-BD7C-5A8ABE5FA1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32227280"/>
        <c:axId val="932562992"/>
      </c:barChart>
      <c:lineChart>
        <c:grouping val="standard"/>
        <c:varyColors val="0"/>
        <c:ser>
          <c:idx val="3"/>
          <c:order val="3"/>
          <c:tx>
            <c:strRef>
              <c:f>Sheet1!$A$8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Sheet1!$B$4:$F$4</c:f>
              <c:numCache>
                <c:formatCode>General</c:formatCode>
                <c:ptCount val="5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2022</c:v>
                </c:pt>
              </c:numCache>
            </c:numRef>
          </c:cat>
          <c:val>
            <c:numRef>
              <c:f>Sheet1!$B$8:$F$8</c:f>
              <c:numCache>
                <c:formatCode>0.00E+00</c:formatCode>
                <c:ptCount val="5"/>
                <c:pt idx="0">
                  <c:v>542471347</c:v>
                </c:pt>
                <c:pt idx="1">
                  <c:v>529475300</c:v>
                </c:pt>
                <c:pt idx="2">
                  <c:v>555404671</c:v>
                </c:pt>
                <c:pt idx="3">
                  <c:v>570927171</c:v>
                </c:pt>
                <c:pt idx="4">
                  <c:v>534836310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78-C44C-BD7C-5A8ABE5FA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227280"/>
        <c:axId val="932562992"/>
      </c:lineChart>
      <c:catAx>
        <c:axId val="93222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62992"/>
        <c:crosses val="autoZero"/>
        <c:auto val="1"/>
        <c:lblAlgn val="ctr"/>
        <c:lblOffset val="100"/>
        <c:noMultiLvlLbl val="0"/>
      </c:catAx>
      <c:valAx>
        <c:axId val="932562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Anthopogenic nitrogen emission (kg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2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Sheet3!$H$2:$H$8</c:f>
              <c:strCache>
                <c:ptCount val="6"/>
                <c:pt idx="0">
                  <c:v>Beef</c:v>
                </c:pt>
                <c:pt idx="1">
                  <c:v>Chicken</c:v>
                </c:pt>
                <c:pt idx="2">
                  <c:v>Milk</c:v>
                </c:pt>
                <c:pt idx="3">
                  <c:v>Eggs</c:v>
                </c:pt>
                <c:pt idx="4">
                  <c:v>Pork</c:v>
                </c:pt>
                <c:pt idx="5">
                  <c:v>Turkey</c:v>
                </c:pt>
              </c:strCache>
            </c:strRef>
          </c:cat>
          <c:val>
            <c:numRef>
              <c:f>Sheet3!$I$2:$I$8</c:f>
              <c:numCache>
                <c:formatCode>0.0</c:formatCode>
                <c:ptCount val="6"/>
                <c:pt idx="0" formatCode="General">
                  <c:v>2.6</c:v>
                </c:pt>
                <c:pt idx="1">
                  <c:v>0.67046788000000002</c:v>
                </c:pt>
                <c:pt idx="2">
                  <c:v>1.3423977399999998</c:v>
                </c:pt>
                <c:pt idx="3">
                  <c:v>3.0528672500000003</c:v>
                </c:pt>
                <c:pt idx="4">
                  <c:v>3.9028316000000003</c:v>
                </c:pt>
                <c:pt idx="5">
                  <c:v>3.0818032666666668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4-114B-BD68-2E5A22A22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514496"/>
        <c:axId val="936552368"/>
      </c:barChart>
      <c:catAx>
        <c:axId val="93651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552368"/>
        <c:crosses val="autoZero"/>
        <c:auto val="1"/>
        <c:lblAlgn val="ctr"/>
        <c:lblOffset val="100"/>
        <c:noMultiLvlLbl val="0"/>
      </c:catAx>
      <c:valAx>
        <c:axId val="93655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Commodity-Specific</a:t>
                </a:r>
                <a:r>
                  <a:rPr lang="en-US" baseline="0"/>
                  <a:t> Nitrogen Input</a:t>
                </a:r>
              </a:p>
              <a:p>
                <a:pPr>
                  <a:defRPr/>
                </a:pPr>
                <a:r>
                  <a:rPr lang="en-US" baseline="0"/>
                  <a:t> (kg N/kg protein)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51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35</xdr:row>
      <xdr:rowOff>88900</xdr:rowOff>
    </xdr:from>
    <xdr:to>
      <xdr:col>12</xdr:col>
      <xdr:colOff>609600</xdr:colOff>
      <xdr:row>48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DFA5A0-7E3C-4D01-C8F2-A0D0F78B8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298450</xdr:colOff>
      <xdr:row>48</xdr:row>
      <xdr:rowOff>63500</xdr:rowOff>
    </xdr:from>
    <xdr:to>
      <xdr:col>5</xdr:col>
      <xdr:colOff>425450</xdr:colOff>
      <xdr:row>61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6333B3-5018-0C10-538F-9EFC96F0A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16</xdr:row>
      <xdr:rowOff>139700</xdr:rowOff>
    </xdr:from>
    <xdr:to>
      <xdr:col>9</xdr:col>
      <xdr:colOff>698500</xdr:colOff>
      <xdr:row>38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47183-77F2-0819-B031-F52B8111D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18</xdr:row>
      <xdr:rowOff>38100</xdr:rowOff>
    </xdr:from>
    <xdr:to>
      <xdr:col>14</xdr:col>
      <xdr:colOff>184150</xdr:colOff>
      <xdr:row>33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F6A27C-91FE-FDC7-2C12-0F7E8752F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 Lima Casseres dos Santos, Lucas" id="{44EE6298-2B81-154D-89DC-AF86CF896CCC}" userId="S::lds5498@psu.edu::6deab624-42f7-4f0e-ac54-b353398e2a4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Casseres" refreshedDate="45762.036441666663" createdVersion="8" refreshedVersion="8" minRefreshableVersion="3" recordCount="30" xr:uid="{D637E052-29D6-024A-B952-A0DA7B017169}">
  <cacheSource type="worksheet">
    <worksheetSource ref="A1:J31" sheet="Milk"/>
  </cacheSource>
  <cacheFields count="10">
    <cacheField name="Year" numFmtId="0">
      <sharedItems containsSemiMixedTypes="0" containsString="0" containsNumber="1" containsInteger="1" minValue="2002" maxValue="2022" count="5">
        <n v="2022"/>
        <n v="2017"/>
        <n v="2012"/>
        <n v="2007"/>
        <n v="2002"/>
      </sharedItems>
    </cacheField>
    <cacheField name="Meat" numFmtId="0">
      <sharedItems/>
    </cacheField>
    <cacheField name="State" numFmtId="0">
      <sharedItems count="6">
        <s v="Delaware"/>
        <s v="Maryland"/>
        <s v="New York"/>
        <s v="Pennsylvania"/>
        <s v="Virginia"/>
        <s v="West Virginia"/>
      </sharedItems>
    </cacheField>
    <cacheField name="Meat sales" numFmtId="165">
      <sharedItems containsSemiMixedTypes="0" containsString="0" containsNumber="1" containsInteger="1" minValue="14018000" maxValue="3873412000"/>
    </cacheField>
    <cacheField name="Dollar per Hundredweight" numFmtId="44">
      <sharedItems containsSemiMixedTypes="0" containsString="0" containsNumber="1" minValue="11.89" maxValue="25.52"/>
    </cacheField>
    <cacheField name="Hundredweight Meat" numFmtId="11">
      <sharedItems containsSemiMixedTypes="0" containsString="0" containsNumber="1" minValue="568912.3376623377" maxValue="151779467.08463949"/>
    </cacheField>
    <cacheField name="Pounds of meat" numFmtId="11">
      <sharedItems containsSemiMixedTypes="0" containsString="0" containsNumber="1" minValue="56891233.766233772" maxValue="15177946708.463949"/>
    </cacheField>
    <cacheField name="kg of Meat" numFmtId="11">
      <sharedItems containsSemiMixedTypes="0" containsString="0" containsNumber="1" minValue="25805408.506493509" maxValue="6884595203.3855791"/>
    </cacheField>
    <cacheField name="N of animals" numFmtId="0">
      <sharedItems containsSemiMixedTypes="0" containsString="0" containsNumber="1" containsInteger="1" minValue="2507" maxValue="670003"/>
    </cacheField>
    <cacheField name="kg of meat/animal.yr" numFmtId="0">
      <sharedItems containsSemiMixedTypes="0" containsString="0" containsNumber="1" minValue="6373.453205717773" maxValue="10907.1706441004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Casseres" refreshedDate="45762.044632060184" createdVersion="8" refreshedVersion="8" minRefreshableVersion="3" recordCount="30" xr:uid="{4F014561-B1FD-0B44-8450-E883AD908F50}">
  <cacheSource type="worksheet">
    <worksheetSource ref="A1:E31" sheet="Sheet5"/>
  </cacheSource>
  <cacheFields count="5">
    <cacheField name="Year" numFmtId="0">
      <sharedItems containsSemiMixedTypes="0" containsString="0" containsNumber="1" containsInteger="1" minValue="2002" maxValue="2022" count="5">
        <n v="2002"/>
        <n v="2007"/>
        <n v="2012"/>
        <n v="2017"/>
        <n v="2022"/>
      </sharedItems>
    </cacheField>
    <cacheField name="State" numFmtId="0">
      <sharedItems count="6">
        <s v="Delaware"/>
        <s v="Maryland"/>
        <s v="New York"/>
        <s v="Pennsylvania"/>
        <s v="Virginia"/>
        <s v="West Virginia"/>
      </sharedItems>
    </cacheField>
    <cacheField name="kg of Meat (e+6)" numFmtId="11">
      <sharedItems containsSemiMixedTypes="0" containsString="0" containsNumber="1" minValue="2.580540850649351" maxValue="688.45952033855792" count="30">
        <n v="7.8781567636669472"/>
        <n v="64.646588003364172"/>
        <n v="595.46634553406216"/>
        <n v="531.79446531875521"/>
        <n v="105.06319931370899"/>
        <n v="12.284751542472666"/>
        <n v="5.1786279074658257"/>
        <n v="45.890060037854887"/>
        <n v="537.5720598004159"/>
        <n v="438.10682804292287"/>
        <n v="78.780965114616194"/>
        <n v="7.4849834447949526"/>
        <n v="4.0399635297906604"/>
        <n v="45.650638338164249"/>
        <n v="590.4751715756596"/>
        <n v="471.54676324735726"/>
        <n v="84.535135141170144"/>
        <n v="7.9503989092860978"/>
        <n v="4.3876907436489603"/>
        <n v="45.691275436489605"/>
        <n v="656.44446991642826"/>
        <n v="511.5799249595442"/>
        <n v="87.607418840646645"/>
        <n v="5.9760484110854497"/>
        <n v="2.580540850649351"/>
        <n v="38.493834720779219"/>
        <n v="688.45952033855792"/>
        <n v="449.30910041786291"/>
        <n v="65.121010551948046"/>
        <n v="3.7023710649350652"/>
      </sharedItems>
    </cacheField>
    <cacheField name="Sum of N of animals (e+3)" numFmtId="0">
      <sharedItems containsSemiMixedTypes="0" containsString="0" containsNumber="1" minValue="2.5070000000000001" maxValue="670.00300000000004" count="30">
        <n v="8.9480000000000004"/>
        <n v="72.763999999999996"/>
        <n v="670.00300000000004"/>
        <n v="591.53099999999995"/>
        <n v="114.724"/>
        <n v="14.972"/>
        <n v="6.5259999999999998"/>
        <n v="57.171999999999997"/>
        <n v="626.45500000000004"/>
        <n v="553.32100000000003"/>
        <n v="98.917000000000002"/>
        <n v="11.744"/>
        <n v="4.5119999999999996"/>
        <n v="50.923000000000002"/>
        <n v="610.71199999999999"/>
        <n v="532.33500000000004"/>
        <n v="94.105000000000004"/>
        <n v="10.095000000000001"/>
        <n v="4.5599999999999996"/>
        <n v="48.210999999999999"/>
        <n v="628.245"/>
        <n v="527.61699999999996"/>
        <n v="87.322000000000003"/>
        <n v="7.242"/>
        <n v="2.5070000000000001"/>
        <n v="38.29"/>
        <n v="631.19899999999996"/>
        <n v="455.65100000000001"/>
        <n v="63.692"/>
        <n v="4.21"/>
      </sharedItems>
    </cacheField>
    <cacheField name="Sum of kg of meat/animal.yr (e+3)" numFmtId="0">
      <sharedItems containsSemiMixedTypes="0" containsString="0" containsNumber="1" minValue="6.3734532057177731" maxValue="10.907170644100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Casseres" refreshedDate="45763.059751620371" createdVersion="8" refreshedVersion="8" minRefreshableVersion="3" recordCount="30" xr:uid="{92E41EC3-DE3D-374B-8B6A-74FE467D88E8}">
  <cacheSource type="worksheet">
    <worksheetSource ref="B2:F32" sheet="Eggs"/>
  </cacheSource>
  <cacheFields count="5">
    <cacheField name="Year" numFmtId="0">
      <sharedItems containsSemiMixedTypes="0" containsString="0" containsNumber="1" containsInteger="1" minValue="2002" maxValue="2022" count="5">
        <n v="2022"/>
        <n v="2017"/>
        <n v="2012"/>
        <n v="2007"/>
        <n v="2002"/>
      </sharedItems>
    </cacheField>
    <cacheField name="Meat" numFmtId="0">
      <sharedItems/>
    </cacheField>
    <cacheField name="State" numFmtId="0">
      <sharedItems/>
    </cacheField>
    <cacheField name="Total Egg production (million)" numFmtId="0">
      <sharedItems containsSemiMixedTypes="0" containsString="0" containsNumber="1" minValue="0" maxValue="7974.6"/>
    </cacheField>
    <cacheField name="Total kg of eggs" numFmtId="0">
      <sharedItems containsSemiMixedTypes="0" containsString="0" containsNumber="1" containsInteger="1" minValue="0" maxValue="454552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Casseres" refreshedDate="45764.103647800926" createdVersion="8" refreshedVersion="8" minRefreshableVersion="3" recordCount="30" xr:uid="{43E61348-FEC2-9348-A9CA-F0D6E61D77E0}">
  <cacheSource type="worksheet">
    <worksheetSource ref="B3:G33" sheet="Broilers"/>
  </cacheSource>
  <cacheFields count="6">
    <cacheField name="Year" numFmtId="0">
      <sharedItems containsSemiMixedTypes="0" containsString="0" containsNumber="1" containsInteger="1" minValue="2002" maxValue="2022" count="5">
        <n v="2022"/>
        <n v="2017"/>
        <n v="2012"/>
        <n v="2007"/>
        <n v="2002"/>
      </sharedItems>
    </cacheField>
    <cacheField name="Meat" numFmtId="0">
      <sharedItems/>
    </cacheField>
    <cacheField name="State" numFmtId="0">
      <sharedItems/>
    </cacheField>
    <cacheField name="Total Meat production (thousand pounds)" numFmtId="0">
      <sharedItems containsSemiMixedTypes="0" containsString="0" containsNumber="1" containsInteger="1" minValue="0" maxValue="2828604"/>
    </cacheField>
    <cacheField name="Total Meat production certified (thousand pounds)" numFmtId="0">
      <sharedItems containsSemiMixedTypes="0" containsString="0" containsNumber="1" containsInteger="1" minValue="0" maxValue="2181923"/>
    </cacheField>
    <cacheField name="Total kg of meats certified" numFmtId="0">
      <sharedItems containsSemiMixedTypes="0" containsString="0" containsNumber="1" minValue="0" maxValue="989704801.734539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Casseres" refreshedDate="45764.789316782408" createdVersion="8" refreshedVersion="8" minRefreshableVersion="3" recordCount="30" xr:uid="{AD690705-08F3-2946-ACBA-8B3676AAA93D}">
  <cacheSource type="worksheet">
    <worksheetSource ref="B3:G33" sheet="Turkey"/>
  </cacheSource>
  <cacheFields count="6">
    <cacheField name="Year" numFmtId="0">
      <sharedItems containsSemiMixedTypes="0" containsString="0" containsNumber="1" containsInteger="1" minValue="2002" maxValue="2022" count="5">
        <n v="2022"/>
        <n v="2017"/>
        <n v="2012"/>
        <n v="2007"/>
        <n v="2002"/>
      </sharedItems>
    </cacheField>
    <cacheField name="Meat" numFmtId="0">
      <sharedItems/>
    </cacheField>
    <cacheField name="State" numFmtId="0">
      <sharedItems/>
    </cacheField>
    <cacheField name="Total Meat production (thousand pounds)" numFmtId="0">
      <sharedItems containsString="0" containsBlank="1" containsNumber="1" containsInteger="1" minValue="169478" maxValue="756494"/>
    </cacheField>
    <cacheField name="Total Meat production certified (thousand pounds)" numFmtId="3">
      <sharedItems containsString="0" containsBlank="1" containsNumber="1" containsInteger="1" minValue="133902" maxValue="593186"/>
    </cacheField>
    <cacheField name="Total kg of meats certified" numFmtId="0">
      <sharedItems containsSemiMixedTypes="0" containsString="0" containsNumber="1" minValue="0" maxValue="269064963.576489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Casseres" refreshedDate="45766.103047106481" createdVersion="8" refreshedVersion="8" minRefreshableVersion="3" recordCount="30" xr:uid="{A47020B6-8212-474B-A0E4-F95972CE3813}">
  <cacheSource type="worksheet">
    <worksheetSource ref="B3:P33" sheet="Beef"/>
  </cacheSource>
  <cacheFields count="10">
    <cacheField name="Year" numFmtId="0">
      <sharedItems containsSemiMixedTypes="0" containsString="0" containsNumber="1" containsInteger="1" minValue="2002" maxValue="2022" count="5">
        <n v="2022"/>
        <n v="2017"/>
        <n v="2012"/>
        <n v="2007"/>
        <n v="2002"/>
      </sharedItems>
    </cacheField>
    <cacheField name="Meat" numFmtId="0">
      <sharedItems/>
    </cacheField>
    <cacheField name="State" numFmtId="0">
      <sharedItems/>
    </cacheField>
    <cacheField name="Total Meat production (million)" numFmtId="0">
      <sharedItems containsSemiMixedTypes="0" containsString="0" containsNumber="1" containsInteger="1" minValue="0" maxValue="1391485"/>
    </cacheField>
    <cacheField name="Total kg of Cattle Meat Total Live weight" numFmtId="0">
      <sharedItems containsSemiMixedTypes="0" containsString="0" containsNumber="1" minValue="0" maxValue="631167729.58605123"/>
    </cacheField>
    <cacheField name="Total kg of Cattle Meat" numFmtId="0">
      <sharedItems containsSemiMixedTypes="0" containsString="0" containsNumber="1" minValue="0" maxValue="631167729.58605123"/>
    </cacheField>
    <cacheField name="Total Meat production (million)2" numFmtId="0">
      <sharedItems containsSemiMixedTypes="0" containsString="0" containsNumber="1" containsInteger="1" minValue="0" maxValue="67285"/>
    </cacheField>
    <cacheField name="Total kg of Cattle Meat Total Live weight2" numFmtId="0">
      <sharedItems containsSemiMixedTypes="0" containsString="0" containsNumber="1" minValue="0" maxValue="30519998.91137702"/>
    </cacheField>
    <cacheField name="Total kg of Cattle Meat2" numFmtId="0">
      <sharedItems containsSemiMixedTypes="0" containsString="0" containsNumber="1" minValue="0" maxValue="30519998.91137702"/>
    </cacheField>
    <cacheField name="Total Meat kg" numFmtId="0">
      <sharedItems containsSemiMixedTypes="0" containsString="0" containsNumber="1" minValue="0" maxValue="648140722.66422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Casseres" refreshedDate="45766.123519560184" createdVersion="8" refreshedVersion="8" minRefreshableVersion="3" recordCount="30" xr:uid="{66276B08-87B7-2845-9511-1229DD599ADC}">
  <cacheSource type="worksheet">
    <worksheetSource ref="B3:G33" sheet="Pork"/>
  </cacheSource>
  <cacheFields count="6">
    <cacheField name="Year" numFmtId="0">
      <sharedItems containsSemiMixedTypes="0" containsString="0" containsNumber="1" containsInteger="1" minValue="2002" maxValue="2022" count="5">
        <n v="2022"/>
        <n v="2017"/>
        <n v="2012"/>
        <n v="2007"/>
        <n v="2002"/>
      </sharedItems>
    </cacheField>
    <cacheField name="Meat" numFmtId="0">
      <sharedItems/>
    </cacheField>
    <cacheField name="State" numFmtId="0">
      <sharedItems/>
    </cacheField>
    <cacheField name="Total Meat production (million)" numFmtId="11">
      <sharedItems containsSemiMixedTypes="0" containsString="0" containsNumber="1" containsInteger="1" minValue="0" maxValue="1064738"/>
    </cacheField>
    <cacheField name="Total kg of Cattle Meat Total Live weight" numFmtId="11">
      <sharedItems containsSemiMixedTypes="0" containsString="0" containsNumber="1" minValue="0" maxValue="482957607.20668417"/>
    </cacheField>
    <cacheField name="Total kg of Cattle Meat" numFmtId="11">
      <sharedItems containsSemiMixedTypes="0" containsString="0" containsNumber="1" minValue="0" maxValue="482957607.206684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Milk"/>
    <x v="0"/>
    <n v="14018000"/>
    <n v="24.64"/>
    <n v="568912.3376623377"/>
    <n v="56891233.766233772"/>
    <n v="25805408.506493509"/>
    <n v="2507"/>
    <n v="10293.342044871762"/>
  </r>
  <r>
    <x v="0"/>
    <s v="Milk"/>
    <x v="1"/>
    <n v="209106000"/>
    <n v="24.64"/>
    <n v="8486444.8051948044"/>
    <n v="848644480.51948047"/>
    <n v="384938347.20779216"/>
    <n v="38290"/>
    <n v="10053.234453063258"/>
  </r>
  <r>
    <x v="0"/>
    <s v="Milk"/>
    <x v="2"/>
    <n v="3873412000"/>
    <n v="25.52"/>
    <n v="151779467.08463949"/>
    <n v="15177946708.463949"/>
    <n v="6884595203.3855791"/>
    <n v="631199"/>
    <n v="10907.170644100481"/>
  </r>
  <r>
    <x v="0"/>
    <s v="Milk"/>
    <x v="3"/>
    <n v="2484319000"/>
    <n v="25.08"/>
    <n v="99055781.499202564"/>
    <n v="9905578149.9202557"/>
    <n v="4493091004.1786289"/>
    <n v="455651"/>
    <n v="9860.8167307404765"/>
  </r>
  <r>
    <x v="0"/>
    <s v="Milk"/>
    <x v="4"/>
    <n v="353750000"/>
    <n v="24.64"/>
    <n v="14356737.012987012"/>
    <n v="1435673701.2987013"/>
    <n v="651210105.51948047"/>
    <n v="63692"/>
    <n v="10224.362643965969"/>
  </r>
  <r>
    <x v="0"/>
    <s v="Milk"/>
    <x v="5"/>
    <n v="20112000"/>
    <n v="24.64"/>
    <n v="816233.76623376622"/>
    <n v="81623376.623376623"/>
    <n v="37023710.649350651"/>
    <n v="4210"/>
    <n v="8794.2305580405355"/>
  </r>
  <r>
    <x v="1"/>
    <s v="Milk"/>
    <x v="0"/>
    <n v="16754000"/>
    <n v="17.32"/>
    <n v="967321.01616628177"/>
    <n v="96732101.61662817"/>
    <n v="43876907.436489604"/>
    <n v="4560"/>
    <n v="9622.1288237915796"/>
  </r>
  <r>
    <x v="1"/>
    <s v="Milk"/>
    <x v="1"/>
    <n v="174468000"/>
    <n v="17.32"/>
    <n v="10073210.161662817"/>
    <n v="1007321016.1662817"/>
    <n v="456912754.36489606"/>
    <n v="48211"/>
    <n v="9477.354843602001"/>
  </r>
  <r>
    <x v="1"/>
    <s v="Milk"/>
    <x v="2"/>
    <n v="2528282000"/>
    <n v="17.47"/>
    <n v="144721350.88723528"/>
    <n v="14472135088.723528"/>
    <n v="6564444699.1642828"/>
    <n v="628245"/>
    <n v="10448.861032183755"/>
  </r>
  <r>
    <x v="1"/>
    <s v="Milk"/>
    <x v="3"/>
    <n v="1979362000"/>
    <n v="17.55"/>
    <n v="112784159.54415955"/>
    <n v="11278415954.415955"/>
    <n v="5115799249.5954418"/>
    <n v="527617"/>
    <n v="9696.047037141414"/>
  </r>
  <r>
    <x v="1"/>
    <s v="Milk"/>
    <x v="4"/>
    <n v="334521000"/>
    <n v="17.32"/>
    <n v="19314145.496535797"/>
    <n v="1931414549.6535797"/>
    <n v="876074188.40646648"/>
    <n v="87322"/>
    <n v="10032.685788306115"/>
  </r>
  <r>
    <x v="1"/>
    <s v="Milk"/>
    <x v="5"/>
    <n v="22819000"/>
    <n v="17.32"/>
    <n v="1317494.2263279445"/>
    <n v="131749422.63279445"/>
    <n v="59760484.110854499"/>
    <n v="7242"/>
    <n v="8251.9309736059786"/>
  </r>
  <r>
    <x v="2"/>
    <s v="Milk"/>
    <x v="0"/>
    <n v="16593000"/>
    <n v="18.63"/>
    <n v="890660.2254428342"/>
    <n v="89066022.54428342"/>
    <n v="40399635.297906607"/>
    <n v="4512"/>
    <n v="8953.8198798551875"/>
  </r>
  <r>
    <x v="2"/>
    <s v="Milk"/>
    <x v="1"/>
    <n v="187497000"/>
    <n v="18.63"/>
    <n v="10064251.20772947"/>
    <n v="1006425120.772947"/>
    <n v="456506383.38164252"/>
    <n v="50923"/>
    <n v="8964.6404057428372"/>
  </r>
  <r>
    <x v="2"/>
    <s v="Milk"/>
    <x v="2"/>
    <n v="2417398000"/>
    <n v="18.57"/>
    <n v="130177598.27679051"/>
    <n v="13017759827.679052"/>
    <n v="5904751715.7565966"/>
    <n v="610712"/>
    <n v="9668.6354873599939"/>
  </r>
  <r>
    <x v="2"/>
    <s v="Milk"/>
    <x v="3"/>
    <n v="1966892000"/>
    <n v="18.920000000000002"/>
    <n v="103958350.9513742"/>
    <n v="10395835095.137421"/>
    <n v="4715467632.4735727"/>
    <n v="532335"/>
    <n v="8858.0830350692195"/>
  </r>
  <r>
    <x v="2"/>
    <s v="Milk"/>
    <x v="4"/>
    <n v="347204000"/>
    <n v="18.63"/>
    <n v="18636822.329575952"/>
    <n v="1863682232.9575951"/>
    <n v="845351351.41170144"/>
    <n v="94105"/>
    <n v="8983.0652081366716"/>
  </r>
  <r>
    <x v="2"/>
    <s v="Milk"/>
    <x v="5"/>
    <n v="32654000"/>
    <n v="18.63"/>
    <n v="1752764.3585614602"/>
    <n v="175276435.85614601"/>
    <n v="79503989.092860982"/>
    <n v="10095"/>
    <n v="7875.5808908232766"/>
  </r>
  <r>
    <x v="3"/>
    <s v="Milk"/>
    <x v="0"/>
    <n v="21715000"/>
    <n v="19.02"/>
    <n v="1141692.9547844375"/>
    <n v="114169295.47844376"/>
    <n v="51786279.07465826"/>
    <n v="6526"/>
    <n v="7935.3783442626818"/>
  </r>
  <r>
    <x v="3"/>
    <s v="Milk"/>
    <x v="1"/>
    <n v="192426000"/>
    <n v="19.02"/>
    <n v="10117034.700315457"/>
    <n v="1011703470.0315456"/>
    <n v="458900600.37854886"/>
    <n v="57172"/>
    <n v="8026.6669065022888"/>
  </r>
  <r>
    <x v="3"/>
    <s v="Milk"/>
    <x v="2"/>
    <n v="2280218000"/>
    <n v="19.239999999999998"/>
    <n v="118514449.06444907"/>
    <n v="11851444906.444908"/>
    <n v="5375720598.004159"/>
    <n v="626455"/>
    <n v="8581.1759791272452"/>
  </r>
  <r>
    <x v="3"/>
    <s v="Milk"/>
    <x v="3"/>
    <n v="1890190000"/>
    <n v="19.57"/>
    <n v="96586101.175268263"/>
    <n v="9658610117.5268269"/>
    <n v="4381068280.4292288"/>
    <n v="553321"/>
    <n v="7917.7697582944238"/>
  </r>
  <r>
    <x v="3"/>
    <s v="Milk"/>
    <x v="4"/>
    <n v="330344000"/>
    <n v="19.02"/>
    <n v="17368243.953732911"/>
    <n v="1736824395.3732913"/>
    <n v="787809651.14616191"/>
    <n v="98917"/>
    <n v="7964.3504265814963"/>
  </r>
  <r>
    <x v="3"/>
    <s v="Milk"/>
    <x v="5"/>
    <n v="31386000"/>
    <n v="19.02"/>
    <n v="1650157.7287066246"/>
    <n v="165015772.87066245"/>
    <n v="74849834.447949529"/>
    <n v="11744"/>
    <n v="6373.453205717773"/>
  </r>
  <r>
    <x v="4"/>
    <s v="Milk"/>
    <x v="0"/>
    <n v="20651000"/>
    <n v="11.89"/>
    <n v="1736837.6787216146"/>
    <n v="173683767.87216148"/>
    <n v="78781567.636669472"/>
    <n v="8948"/>
    <n v="8804.3772504100889"/>
  </r>
  <r>
    <x v="4"/>
    <s v="Milk"/>
    <x v="1"/>
    <n v="169458000"/>
    <n v="11.89"/>
    <n v="14252144.659377627"/>
    <n v="1425214465.9377627"/>
    <n v="646465880.0336417"/>
    <n v="72764"/>
    <n v="8884.4192187571007"/>
  </r>
  <r>
    <x v="4"/>
    <s v="Milk"/>
    <x v="2"/>
    <n v="1560895000"/>
    <n v="11.89"/>
    <n v="131277964.67619848"/>
    <n v="13127796467.619848"/>
    <n v="5954663455.3406219"/>
    <n v="670003"/>
    <n v="8887.5176011758485"/>
  </r>
  <r>
    <x v="4"/>
    <s v="Milk"/>
    <x v="3"/>
    <n v="1393992000"/>
    <n v="11.89"/>
    <n v="117240706.47603028"/>
    <n v="11724070647.603027"/>
    <n v="5317944653.1875525"/>
    <n v="591531"/>
    <n v="8990.1368705740733"/>
  </r>
  <r>
    <x v="4"/>
    <s v="Milk"/>
    <x v="4"/>
    <n v="275402000"/>
    <n v="11.89"/>
    <n v="23162489.486963835"/>
    <n v="2316248948.6963835"/>
    <n v="1050631993.13709"/>
    <n v="114724"/>
    <n v="9157.9093575632814"/>
  </r>
  <r>
    <x v="4"/>
    <s v="Milk"/>
    <x v="5"/>
    <n v="32202000"/>
    <n v="11.89"/>
    <n v="2708326.3246425567"/>
    <n v="270832632.46425569"/>
    <n v="122847515.42472667"/>
    <n v="14972"/>
    <n v="8205.15064284842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  <n v="8.8043772504100897"/>
  </r>
  <r>
    <x v="0"/>
    <x v="1"/>
    <x v="1"/>
    <x v="1"/>
    <n v="8.8844192187571007"/>
  </r>
  <r>
    <x v="0"/>
    <x v="2"/>
    <x v="2"/>
    <x v="2"/>
    <n v="8.8875176011758477"/>
  </r>
  <r>
    <x v="0"/>
    <x v="3"/>
    <x v="3"/>
    <x v="3"/>
    <n v="8.990136870574073"/>
  </r>
  <r>
    <x v="0"/>
    <x v="4"/>
    <x v="4"/>
    <x v="4"/>
    <n v="9.1579093575632822"/>
  </r>
  <r>
    <x v="0"/>
    <x v="5"/>
    <x v="5"/>
    <x v="5"/>
    <n v="8.2051506428484284"/>
  </r>
  <r>
    <x v="1"/>
    <x v="0"/>
    <x v="6"/>
    <x v="6"/>
    <n v="7.9353783442626815"/>
  </r>
  <r>
    <x v="1"/>
    <x v="1"/>
    <x v="7"/>
    <x v="7"/>
    <n v="8.0266669065022889"/>
  </r>
  <r>
    <x v="1"/>
    <x v="2"/>
    <x v="8"/>
    <x v="8"/>
    <n v="8.5811759791272451"/>
  </r>
  <r>
    <x v="1"/>
    <x v="3"/>
    <x v="9"/>
    <x v="9"/>
    <n v="7.9177697582944235"/>
  </r>
  <r>
    <x v="1"/>
    <x v="4"/>
    <x v="10"/>
    <x v="10"/>
    <n v="7.9643504265814959"/>
  </r>
  <r>
    <x v="1"/>
    <x v="5"/>
    <x v="11"/>
    <x v="11"/>
    <n v="6.3734532057177731"/>
  </r>
  <r>
    <x v="2"/>
    <x v="0"/>
    <x v="12"/>
    <x v="12"/>
    <n v="8.9538198798551871"/>
  </r>
  <r>
    <x v="2"/>
    <x v="1"/>
    <x v="13"/>
    <x v="13"/>
    <n v="8.9646404057428377"/>
  </r>
  <r>
    <x v="2"/>
    <x v="2"/>
    <x v="14"/>
    <x v="14"/>
    <n v="9.6686354873599942"/>
  </r>
  <r>
    <x v="2"/>
    <x v="3"/>
    <x v="15"/>
    <x v="15"/>
    <n v="8.8580830350692192"/>
  </r>
  <r>
    <x v="2"/>
    <x v="4"/>
    <x v="16"/>
    <x v="16"/>
    <n v="8.9830652081366722"/>
  </r>
  <r>
    <x v="2"/>
    <x v="5"/>
    <x v="17"/>
    <x v="17"/>
    <n v="7.8755808908232767"/>
  </r>
  <r>
    <x v="3"/>
    <x v="0"/>
    <x v="18"/>
    <x v="18"/>
    <n v="9.622128823791579"/>
  </r>
  <r>
    <x v="3"/>
    <x v="1"/>
    <x v="19"/>
    <x v="19"/>
    <n v="9.4773548436020008"/>
  </r>
  <r>
    <x v="3"/>
    <x v="2"/>
    <x v="20"/>
    <x v="20"/>
    <n v="10.448861032183755"/>
  </r>
  <r>
    <x v="3"/>
    <x v="3"/>
    <x v="21"/>
    <x v="21"/>
    <n v="9.6960470371414136"/>
  </r>
  <r>
    <x v="3"/>
    <x v="4"/>
    <x v="22"/>
    <x v="22"/>
    <n v="10.032685788306114"/>
  </r>
  <r>
    <x v="3"/>
    <x v="5"/>
    <x v="23"/>
    <x v="23"/>
    <n v="8.2519309736059778"/>
  </r>
  <r>
    <x v="4"/>
    <x v="0"/>
    <x v="24"/>
    <x v="24"/>
    <n v="10.293342044871762"/>
  </r>
  <r>
    <x v="4"/>
    <x v="1"/>
    <x v="25"/>
    <x v="25"/>
    <n v="10.053234453063258"/>
  </r>
  <r>
    <x v="4"/>
    <x v="2"/>
    <x v="26"/>
    <x v="26"/>
    <n v="10.90717064410048"/>
  </r>
  <r>
    <x v="4"/>
    <x v="3"/>
    <x v="27"/>
    <x v="27"/>
    <n v="9.8608167307404759"/>
  </r>
  <r>
    <x v="4"/>
    <x v="4"/>
    <x v="28"/>
    <x v="28"/>
    <n v="10.22436264396597"/>
  </r>
  <r>
    <x v="4"/>
    <x v="5"/>
    <x v="29"/>
    <x v="29"/>
    <n v="8.794230558040535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Eggs"/>
    <s v="Delaware"/>
    <n v="0"/>
    <n v="0"/>
  </r>
  <r>
    <x v="0"/>
    <s v="Eggs"/>
    <s v="Maryland"/>
    <n v="587.5"/>
    <n v="33487500"/>
  </r>
  <r>
    <x v="0"/>
    <s v="Eggs"/>
    <s v="New York"/>
    <n v="1774.6"/>
    <n v="101152200"/>
  </r>
  <r>
    <x v="0"/>
    <s v="Eggs"/>
    <s v="Pennsylvania"/>
    <n v="7873.9"/>
    <n v="448812300"/>
  </r>
  <r>
    <x v="0"/>
    <s v="Eggs"/>
    <s v="Virginia"/>
    <n v="379.1"/>
    <n v="21608700"/>
  </r>
  <r>
    <x v="0"/>
    <s v="Eggs"/>
    <s v="West Virginia"/>
    <n v="306.2"/>
    <n v="17453400"/>
  </r>
  <r>
    <x v="1"/>
    <s v="Eggs"/>
    <s v="Delaware"/>
    <n v="0"/>
    <n v="0"/>
  </r>
  <r>
    <x v="1"/>
    <s v="Eggs"/>
    <s v="Maryland"/>
    <n v="819.8"/>
    <n v="46728600"/>
  </r>
  <r>
    <x v="1"/>
    <s v="Eggs"/>
    <s v="New York"/>
    <n v="1717.8"/>
    <n v="97914600"/>
  </r>
  <r>
    <x v="1"/>
    <s v="Eggs"/>
    <s v="Pennsylvania"/>
    <n v="7974.6"/>
    <n v="454552200"/>
  </r>
  <r>
    <x v="1"/>
    <s v="Eggs"/>
    <s v="Virginia"/>
    <n v="341.1"/>
    <n v="19442700"/>
  </r>
  <r>
    <x v="1"/>
    <s v="Eggs"/>
    <s v="West Virginia"/>
    <n v="274.7"/>
    <n v="15657900"/>
  </r>
  <r>
    <x v="2"/>
    <s v="Eggs"/>
    <s v="Delaware"/>
    <n v="0"/>
    <n v="0"/>
  </r>
  <r>
    <x v="2"/>
    <s v="Eggs"/>
    <s v="Maryland"/>
    <n v="633"/>
    <n v="36081000"/>
  </r>
  <r>
    <x v="2"/>
    <s v="Eggs"/>
    <s v="New York"/>
    <n v="1312"/>
    <n v="74784000"/>
  </r>
  <r>
    <x v="2"/>
    <s v="Eggs"/>
    <s v="Pennsylvania"/>
    <n v="6899"/>
    <n v="393243000"/>
  </r>
  <r>
    <x v="2"/>
    <s v="Eggs"/>
    <s v="Virginia"/>
    <n v="337"/>
    <n v="19209000"/>
  </r>
  <r>
    <x v="2"/>
    <s v="Eggs"/>
    <s v="West Virginia"/>
    <n v="224"/>
    <n v="12768000"/>
  </r>
  <r>
    <x v="3"/>
    <s v="Eggs"/>
    <s v="Delaware"/>
    <n v="0"/>
    <n v="0"/>
  </r>
  <r>
    <x v="3"/>
    <s v="Eggs"/>
    <s v="Maryland"/>
    <n v="680"/>
    <n v="38760000"/>
  </r>
  <r>
    <x v="3"/>
    <s v="Eggs"/>
    <s v="New York"/>
    <n v="1127"/>
    <n v="64239000"/>
  </r>
  <r>
    <x v="3"/>
    <s v="Eggs"/>
    <s v="Pennsylvania"/>
    <n v="6161"/>
    <n v="351177000"/>
  </r>
  <r>
    <x v="3"/>
    <s v="Eggs"/>
    <s v="Virginia"/>
    <n v="382"/>
    <n v="21774000"/>
  </r>
  <r>
    <x v="3"/>
    <s v="Eggs"/>
    <s v="West Virginia"/>
    <n v="272"/>
    <n v="15504000"/>
  </r>
  <r>
    <x v="4"/>
    <s v="Eggs"/>
    <s v="Delaware"/>
    <n v="347"/>
    <n v="19779000"/>
  </r>
  <r>
    <x v="4"/>
    <s v="Eggs"/>
    <s v="Maryland"/>
    <n v="875"/>
    <n v="49875000"/>
  </r>
  <r>
    <x v="4"/>
    <s v="Eggs"/>
    <s v="New York"/>
    <n v="1100"/>
    <n v="62700000"/>
  </r>
  <r>
    <x v="4"/>
    <s v="Eggs"/>
    <s v="Pennsylvania"/>
    <n v="6324"/>
    <n v="360468000"/>
  </r>
  <r>
    <x v="4"/>
    <s v="Eggs"/>
    <s v="Virginia"/>
    <n v="351"/>
    <n v="20007000"/>
  </r>
  <r>
    <x v="4"/>
    <s v="Eggs"/>
    <s v="West Virginia"/>
    <n v="261"/>
    <n v="14877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Broilers"/>
    <s v="Delaware"/>
    <n v="2822500"/>
    <n v="2181923"/>
    <n v="989704801.73453939"/>
  </r>
  <r>
    <x v="0"/>
    <s v="Broilers"/>
    <s v="Maryland"/>
    <n v="921241"/>
    <n v="687975"/>
    <n v="312060581.86898422"/>
  </r>
  <r>
    <x v="0"/>
    <s v="Broilers"/>
    <s v="New York"/>
    <n v="153562"/>
    <n v="93569"/>
    <n v="42442234.942983374"/>
  </r>
  <r>
    <x v="0"/>
    <s v="Broilers"/>
    <s v="Pennsylvania"/>
    <n v="826838"/>
    <n v="570237"/>
    <n v="258655459.8978509"/>
  </r>
  <r>
    <x v="0"/>
    <s v="Broilers"/>
    <s v="Virginia"/>
    <n v="2119522"/>
    <n v="1599495"/>
    <n v="725519590.67775857"/>
  </r>
  <r>
    <x v="0"/>
    <s v="Broilers"/>
    <s v="West Virginia"/>
    <n v="0"/>
    <n v="0"/>
    <n v="0"/>
  </r>
  <r>
    <x v="1"/>
    <s v="Broilers"/>
    <s v="Delaware"/>
    <n v="2828604"/>
    <n v="2089687"/>
    <n v="947867206.13983369"/>
  </r>
  <r>
    <x v="1"/>
    <s v="Broilers"/>
    <s v="Maryland"/>
    <n v="751824"/>
    <n v="554964"/>
    <n v="251727735.39204037"/>
  </r>
  <r>
    <x v="1"/>
    <s v="Broilers"/>
    <s v="New York"/>
    <n v="129665"/>
    <n v="80265"/>
    <n v="36407634.875851624"/>
  </r>
  <r>
    <x v="1"/>
    <s v="Broilers"/>
    <s v="Pennsylvania"/>
    <n v="661877"/>
    <n v="448464"/>
    <n v="203420090.53714475"/>
  </r>
  <r>
    <x v="1"/>
    <s v="Broilers"/>
    <s v="Virginia"/>
    <n v="1974575"/>
    <n v="1408186"/>
    <n v="638743184.76653576"/>
  </r>
  <r>
    <x v="1"/>
    <s v="Broilers"/>
    <s v="West Virginia"/>
    <n v="419380"/>
    <n v="300749"/>
    <n v="136417613.91985923"/>
  </r>
  <r>
    <x v="2"/>
    <s v="Broilers"/>
    <s v="Delaware"/>
    <n v="2194460"/>
    <n v="1585989"/>
    <n v="719393364.8429209"/>
  </r>
  <r>
    <x v="2"/>
    <s v="Broilers"/>
    <s v="Maryland"/>
    <n v="682516"/>
    <n v="493924"/>
    <n v="224040424.20008892"/>
  </r>
  <r>
    <x v="2"/>
    <s v="Broilers"/>
    <s v="New York"/>
    <n v="104431"/>
    <n v="63334"/>
    <n v="28727853.326196808"/>
  </r>
  <r>
    <x v="2"/>
    <s v="Broilers"/>
    <s v="Pennsylvania"/>
    <n v="730437"/>
    <n v="505907"/>
    <n v="229475828.03385618"/>
  </r>
  <r>
    <x v="2"/>
    <s v="Broilers"/>
    <s v="Virginia"/>
    <n v="1690024"/>
    <n v="1199402"/>
    <n v="544040242.76292515"/>
  </r>
  <r>
    <x v="2"/>
    <s v="Broilers"/>
    <s v="West Virginia"/>
    <n v="453154"/>
    <n v="324762"/>
    <n v="147309740.45413724"/>
  </r>
  <r>
    <x v="3"/>
    <s v="Broilers"/>
    <s v="Delaware"/>
    <n v="2074374"/>
    <n v="1491632"/>
    <n v="676593698.68730223"/>
  </r>
  <r>
    <x v="3"/>
    <s v="Broilers"/>
    <s v="Maryland"/>
    <n v="686859"/>
    <n v="496948"/>
    <n v="225412089.15822229"/>
  </r>
  <r>
    <x v="3"/>
    <s v="Broilers"/>
    <s v="New York"/>
    <n v="95352"/>
    <n v="58062"/>
    <n v="26336511.507652115"/>
  </r>
  <r>
    <x v="3"/>
    <s v="Broilers"/>
    <s v="Pennsylvania"/>
    <n v="708062"/>
    <n v="488245"/>
    <n v="221464470.06740391"/>
  </r>
  <r>
    <x v="3"/>
    <s v="Broilers"/>
    <s v="Virginia"/>
    <n v="1570874"/>
    <n v="1097381"/>
    <n v="497764240.54939181"/>
  </r>
  <r>
    <x v="3"/>
    <s v="Broilers"/>
    <s v="West Virginia"/>
    <n v="0"/>
    <n v="0"/>
    <n v="0"/>
  </r>
  <r>
    <x v="4"/>
    <s v="Broilers"/>
    <s v="Delaware"/>
    <n v="1575048"/>
    <n v="1140250"/>
    <n v="517209314.98398823"/>
  </r>
  <r>
    <x v="4"/>
    <s v="Broilers"/>
    <s v="Maryland"/>
    <n v="934174"/>
    <n v="670462"/>
    <n v="304116809.2460379"/>
  </r>
  <r>
    <x v="4"/>
    <s v="Broilers"/>
    <s v="New York"/>
    <n v="0"/>
    <n v="0"/>
    <n v="0"/>
  </r>
  <r>
    <x v="4"/>
    <s v="Broilers"/>
    <s v="Pennsylvania"/>
    <n v="584932"/>
    <n v="405673"/>
    <n v="184010396.34948429"/>
  </r>
  <r>
    <x v="4"/>
    <s v="Broilers"/>
    <s v="Virginia"/>
    <n v="1650701"/>
    <n v="1190668"/>
    <n v="540078562.29191434"/>
  </r>
  <r>
    <x v="4"/>
    <s v="Broilers"/>
    <s v="West Virginia"/>
    <n v="0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Turkey"/>
    <s v="Delaware"/>
    <m/>
    <m/>
    <n v="14973.60933355871"/>
  </r>
  <r>
    <x v="0"/>
    <s v="Turkey"/>
    <s v="Maryland"/>
    <m/>
    <m/>
    <n v="998131.68724870961"/>
  </r>
  <r>
    <x v="0"/>
    <s v="Turkey"/>
    <s v="New York"/>
    <m/>
    <m/>
    <n v="0"/>
  </r>
  <r>
    <x v="0"/>
    <s v="Turkey"/>
    <s v="Pennsylvania"/>
    <n v="210431"/>
    <n v="167065"/>
    <n v="75779499.414865151"/>
  </r>
  <r>
    <x v="0"/>
    <s v="Turkey"/>
    <s v="Virginia"/>
    <m/>
    <m/>
    <n v="55195605.829103269"/>
  </r>
  <r>
    <x v="0"/>
    <s v="Turkey"/>
    <s v="West Virginia"/>
    <m/>
    <m/>
    <n v="12317843.635272706"/>
  </r>
  <r>
    <x v="1"/>
    <s v="Turkey"/>
    <s v="Delaware"/>
    <m/>
    <m/>
    <n v="2367.7972387715768"/>
  </r>
  <r>
    <x v="1"/>
    <s v="Turkey"/>
    <s v="Maryland"/>
    <m/>
    <m/>
    <n v="557651.81750038743"/>
  </r>
  <r>
    <x v="1"/>
    <s v="Turkey"/>
    <s v="New York"/>
    <m/>
    <m/>
    <n v="2269955.3854887756"/>
  </r>
  <r>
    <x v="1"/>
    <s v="Turkey"/>
    <s v="Pennsylvania"/>
    <n v="274758"/>
    <n v="218197"/>
    <n v="98972612.060128286"/>
  </r>
  <r>
    <x v="1"/>
    <s v="Turkey"/>
    <s v="Virginia"/>
    <n v="733239"/>
    <n v="593186"/>
    <n v="269064963.57648939"/>
  </r>
  <r>
    <x v="1"/>
    <s v="Turkey"/>
    <s v="West Virginia"/>
    <m/>
    <m/>
    <n v="14784739.365507813"/>
  </r>
  <r>
    <x v="2"/>
    <s v="Turkey"/>
    <s v="Delaware"/>
    <m/>
    <m/>
    <n v="7113.8616404357117"/>
  </r>
  <r>
    <x v="2"/>
    <s v="Turkey"/>
    <s v="Maryland"/>
    <m/>
    <m/>
    <n v="707500.05710631516"/>
  </r>
  <r>
    <x v="2"/>
    <s v="Turkey"/>
    <s v="New York"/>
    <m/>
    <m/>
    <n v="1311885.6955504278"/>
  </r>
  <r>
    <x v="2"/>
    <s v="Turkey"/>
    <s v="Pennsylvania"/>
    <n v="169478"/>
    <n v="133902"/>
    <n v="60736997.759251036"/>
  </r>
  <r>
    <x v="2"/>
    <s v="Turkey"/>
    <s v="Virginia"/>
    <n v="720767"/>
    <n v="579120"/>
    <n v="262684725.71236768"/>
  </r>
  <r>
    <x v="2"/>
    <s v="Turkey"/>
    <s v="West Virginia"/>
    <m/>
    <m/>
    <n v="16617066.41395494"/>
  </r>
  <r>
    <x v="3"/>
    <s v="Turkey"/>
    <s v="Delaware"/>
    <m/>
    <m/>
    <n v="6031.4587094196067"/>
  </r>
  <r>
    <x v="3"/>
    <s v="Turkey"/>
    <s v="Maryland"/>
    <m/>
    <m/>
    <n v="1920714.1541795535"/>
  </r>
  <r>
    <x v="3"/>
    <s v="Turkey"/>
    <s v="New York"/>
    <m/>
    <m/>
    <n v="854668.88442621659"/>
  </r>
  <r>
    <x v="3"/>
    <s v="Turkey"/>
    <s v="Pennsylvania"/>
    <m/>
    <m/>
    <n v="30437072.352881484"/>
  </r>
  <r>
    <x v="3"/>
    <s v="Turkey"/>
    <s v="Virginia"/>
    <m/>
    <m/>
    <n v="54472056.730484642"/>
  </r>
  <r>
    <x v="3"/>
    <s v="Turkey"/>
    <s v="West Virginia"/>
    <m/>
    <m/>
    <n v="14120324.560916841"/>
  </r>
  <r>
    <x v="4"/>
    <s v="Turkey"/>
    <s v="Delaware"/>
    <m/>
    <m/>
    <n v="1881.6104075424082"/>
  </r>
  <r>
    <x v="4"/>
    <s v="Turkey"/>
    <s v="Maryland"/>
    <m/>
    <m/>
    <n v="876604.33364261116"/>
  </r>
  <r>
    <x v="4"/>
    <s v="Turkey"/>
    <s v="New York"/>
    <m/>
    <m/>
    <n v="0"/>
  </r>
  <r>
    <x v="4"/>
    <s v="Turkey"/>
    <s v="Pennsylvania"/>
    <n v="235340"/>
    <n v="184810"/>
    <n v="83828505.592800587"/>
  </r>
  <r>
    <x v="4"/>
    <s v="Turkey"/>
    <s v="Virginia"/>
    <n v="756494"/>
    <n v="579642"/>
    <n v="262921501.2110931"/>
  </r>
  <r>
    <x v="4"/>
    <s v="Turkey"/>
    <s v="West Virginia"/>
    <m/>
    <m/>
    <n v="11546272.11182126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Beef"/>
    <s v="Delaware"/>
    <n v="49406"/>
    <n v="22410211.283577219"/>
    <n v="22410211.283577219"/>
    <n v="0"/>
    <n v="0"/>
    <n v="0"/>
    <n v="22410211.283577219"/>
  </r>
  <r>
    <x v="0"/>
    <s v="Beef"/>
    <s v="Maryland"/>
    <n v="0"/>
    <n v="0"/>
    <n v="0"/>
    <n v="0"/>
    <n v="0"/>
    <n v="0"/>
    <n v="0"/>
  </r>
  <r>
    <x v="0"/>
    <s v="Beef"/>
    <s v="New York"/>
    <n v="55325"/>
    <n v="25095027.714526769"/>
    <n v="25095027.714526769"/>
    <n v="5348"/>
    <n v="2425814.8796618013"/>
    <n v="2425814.8796618013"/>
    <n v="27520842.594188571"/>
  </r>
  <r>
    <x v="0"/>
    <s v="Beef"/>
    <s v="Pennsylvania"/>
    <n v="1391485"/>
    <n v="631167729.58605123"/>
    <n v="631167729.58605123"/>
    <n v="37419"/>
    <n v="16972993.078172203"/>
    <n v="16972993.078172203"/>
    <n v="648140722.66422343"/>
  </r>
  <r>
    <x v="0"/>
    <s v="Beef"/>
    <s v="Virginia"/>
    <n v="24328"/>
    <n v="11035008.300750244"/>
    <n v="11035008.300750244"/>
    <n v="558"/>
    <n v="253104.84346508697"/>
    <n v="253104.84346508697"/>
    <n v="11288113.14421533"/>
  </r>
  <r>
    <x v="0"/>
    <s v="Beef"/>
    <s v="West Virginia"/>
    <n v="15112"/>
    <n v="6854696.0473913876"/>
    <n v="6854696.0473913876"/>
    <n v="50"/>
    <n v="22679.645471781987"/>
    <n v="22679.645471781987"/>
    <n v="6877375.6928631701"/>
  </r>
  <r>
    <x v="1"/>
    <s v="Beef"/>
    <s v="Delaware"/>
    <n v="51257"/>
    <n v="23249811.758942585"/>
    <n v="23249811.758942585"/>
    <n v="0"/>
    <n v="0"/>
    <n v="0"/>
    <n v="23249811.758942585"/>
  </r>
  <r>
    <x v="1"/>
    <s v="Beef"/>
    <s v="Maryland"/>
    <n v="0"/>
    <n v="0"/>
    <n v="0"/>
    <n v="0"/>
    <n v="0"/>
    <n v="0"/>
    <n v="0"/>
  </r>
  <r>
    <x v="1"/>
    <s v="Beef"/>
    <s v="New York"/>
    <n v="44265"/>
    <n v="20078290.136168592"/>
    <n v="20078290.136168592"/>
    <n v="7099"/>
    <n v="3220056.0640836065"/>
    <n v="3220056.0640836065"/>
    <n v="23298346.200252198"/>
  </r>
  <r>
    <x v="1"/>
    <s v="Beef"/>
    <s v="Pennsylvania"/>
    <n v="1235500"/>
    <n v="560414039.60773289"/>
    <n v="560414039.60773289"/>
    <n v="42002"/>
    <n v="19051809.38211574"/>
    <n v="19051809.38211574"/>
    <n v="579465848.98984861"/>
  </r>
  <r>
    <x v="1"/>
    <s v="Beef"/>
    <s v="Virginia"/>
    <n v="15605"/>
    <n v="7078317.351743158"/>
    <n v="7078317.351743158"/>
    <n v="270"/>
    <n v="122470.08554762273"/>
    <n v="122470.08554762273"/>
    <n v="7200787.4372907802"/>
  </r>
  <r>
    <x v="1"/>
    <s v="Beef"/>
    <s v="West Virginia"/>
    <n v="9767"/>
    <n v="4430241.9464578936"/>
    <n v="4430241.9464578936"/>
    <n v="0"/>
    <n v="0"/>
    <n v="0"/>
    <n v="4430241.9464578936"/>
  </r>
  <r>
    <x v="2"/>
    <s v="Beef"/>
    <s v="Delaware"/>
    <n v="43092"/>
    <n v="19546225.653400589"/>
    <n v="19546225.653400589"/>
    <n v="915"/>
    <n v="415037.51213361038"/>
    <n v="415037.51213361038"/>
    <n v="19961263.165534198"/>
  </r>
  <r>
    <x v="2"/>
    <s v="Beef"/>
    <s v="Maryland"/>
    <n v="0"/>
    <n v="0"/>
    <n v="0"/>
    <n v="0"/>
    <n v="0"/>
    <n v="0"/>
    <n v="0"/>
  </r>
  <r>
    <x v="2"/>
    <s v="Beef"/>
    <s v="New York"/>
    <n v="33993"/>
    <n v="15418983.770445703"/>
    <n v="15418983.770445703"/>
    <n v="11127"/>
    <n v="5047128.3032903634"/>
    <n v="5047128.3032903634"/>
    <n v="20466112.073736064"/>
  </r>
  <r>
    <x v="2"/>
    <s v="Beef"/>
    <s v="Pennsylvania"/>
    <n v="1165249"/>
    <n v="528548684.12696975"/>
    <n v="528548684.12696975"/>
    <n v="49915"/>
    <n v="22641090.074479956"/>
    <n v="22641090.074479956"/>
    <n v="551189774.20144975"/>
  </r>
  <r>
    <x v="2"/>
    <s v="Beef"/>
    <s v="Virginia"/>
    <n v="13262"/>
    <n v="6015549.1649354547"/>
    <n v="6015549.1649354547"/>
    <n v="110"/>
    <n v="49895.220037920371"/>
    <n v="49895.220037920371"/>
    <n v="6065444.3849733751"/>
  </r>
  <r>
    <x v="2"/>
    <s v="Beef"/>
    <s v="West Virginia"/>
    <n v="9499"/>
    <n v="4308679.0467291418"/>
    <n v="4308679.0467291418"/>
    <n v="50"/>
    <n v="22679.645471781987"/>
    <n v="22679.645471781987"/>
    <n v="4331358.6922009243"/>
  </r>
  <r>
    <x v="3"/>
    <s v="Beef"/>
    <s v="Delaware"/>
    <n v="55226"/>
    <n v="25050122.016492639"/>
    <n v="25050122.016492639"/>
    <n v="572"/>
    <n v="259455.14419718593"/>
    <n v="259455.14419718593"/>
    <n v="25309577.160689823"/>
  </r>
  <r>
    <x v="3"/>
    <s v="Beef"/>
    <s v="Maryland"/>
    <n v="0"/>
    <n v="0"/>
    <n v="0"/>
    <n v="0"/>
    <n v="0"/>
    <n v="0"/>
    <n v="0"/>
  </r>
  <r>
    <x v="3"/>
    <s v="Beef"/>
    <s v="New York"/>
    <n v="31136"/>
    <n v="14123068.828188078"/>
    <n v="14123068.828188078"/>
    <n v="18864"/>
    <n v="8556576.6435939074"/>
    <n v="8556576.6435939074"/>
    <n v="22679645.471781984"/>
  </r>
  <r>
    <x v="3"/>
    <s v="Beef"/>
    <s v="Pennsylvania"/>
    <n v="1176021"/>
    <n v="533434786.94741046"/>
    <n v="533434786.94741046"/>
    <n v="67285"/>
    <n v="30519998.91137702"/>
    <n v="30519998.91137702"/>
    <n v="563954785.85878754"/>
  </r>
  <r>
    <x v="3"/>
    <s v="Beef"/>
    <s v="Virginia"/>
    <n v="14940"/>
    <n v="6776678.0669684578"/>
    <n v="6776678.0669684578"/>
    <n v="259"/>
    <n v="117480.56354383069"/>
    <n v="117480.56354383069"/>
    <n v="6894158.6305122888"/>
  </r>
  <r>
    <x v="3"/>
    <s v="Beef"/>
    <s v="West Virginia"/>
    <n v="9928"/>
    <n v="4503270.4048770312"/>
    <n v="4503270.4048770312"/>
    <n v="0"/>
    <n v="0"/>
    <n v="0"/>
    <n v="4503270.4048770312"/>
  </r>
  <r>
    <x v="4"/>
    <s v="Beef"/>
    <s v="Delaware"/>
    <n v="47030"/>
    <n v="21332474.530758139"/>
    <n v="21332474.530758139"/>
    <n v="501"/>
    <n v="227250.04762725552"/>
    <n v="227250.04762725552"/>
    <n v="21559724.578385394"/>
  </r>
  <r>
    <x v="4"/>
    <s v="Beef"/>
    <s v="Maryland"/>
    <n v="0"/>
    <n v="0"/>
    <n v="0"/>
    <n v="0"/>
    <n v="0"/>
    <n v="0"/>
    <n v="0"/>
  </r>
  <r>
    <x v="4"/>
    <s v="Beef"/>
    <s v="New York"/>
    <n v="56808"/>
    <n v="25767705.999219824"/>
    <n v="25767705.999219824"/>
    <n v="16707"/>
    <n v="7578176.7379412334"/>
    <n v="7578176.7379412334"/>
    <n v="33345882.737161055"/>
  </r>
  <r>
    <x v="4"/>
    <s v="Beef"/>
    <s v="Pennsylvania"/>
    <n v="1328715"/>
    <n v="602695702.66077602"/>
    <n v="602695702.66077602"/>
    <n v="64874"/>
    <n v="29426386.406727694"/>
    <n v="29426386.406727694"/>
    <n v="632122089.06750369"/>
  </r>
  <r>
    <x v="4"/>
    <s v="Beef"/>
    <s v="Virginia"/>
    <n v="12073"/>
    <n v="5476227.195616479"/>
    <n v="5476227.195616479"/>
    <n v="84"/>
    <n v="38101.804392593738"/>
    <n v="38101.804392593738"/>
    <n v="5514329.0000090729"/>
  </r>
  <r>
    <x v="4"/>
    <s v="Beef"/>
    <s v="West Virginia"/>
    <n v="10267"/>
    <n v="4657038.4011757132"/>
    <n v="4657038.4011757132"/>
    <n v="0"/>
    <n v="0"/>
    <n v="0"/>
    <n v="4657038.401175713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Pork"/>
    <s v="Delaware"/>
    <n v="5689"/>
    <n v="2580490.0617793547"/>
    <n v="2580490.0617793547"/>
  </r>
  <r>
    <x v="0"/>
    <s v="Pork"/>
    <s v="Maryland"/>
    <n v="0"/>
    <n v="0"/>
    <n v="0"/>
  </r>
  <r>
    <x v="0"/>
    <s v="Pork"/>
    <s v="New York"/>
    <n v="7761"/>
    <n v="3520334.5701299999"/>
    <n v="3520334.5701299999"/>
  </r>
  <r>
    <x v="0"/>
    <s v="Pork"/>
    <s v="Pennsylvania"/>
    <n v="914255"/>
    <n v="414699585.41608083"/>
    <n v="414699585.41608083"/>
  </r>
  <r>
    <x v="0"/>
    <s v="Pork"/>
    <s v="Virginia"/>
    <n v="0"/>
    <n v="0"/>
    <n v="0"/>
  </r>
  <r>
    <x v="0"/>
    <s v="Pork"/>
    <s v="West Virginia"/>
    <n v="2235"/>
    <n v="1013780.1525886548"/>
    <n v="1013780.1525886548"/>
  </r>
  <r>
    <x v="1"/>
    <s v="Pork"/>
    <s v="Delaware"/>
    <n v="5222"/>
    <n v="2368662.1730729109"/>
    <n v="2368662.1730729109"/>
  </r>
  <r>
    <x v="1"/>
    <s v="Pork"/>
    <s v="Maryland"/>
    <n v="0"/>
    <n v="0"/>
    <n v="0"/>
  </r>
  <r>
    <x v="1"/>
    <s v="Pork"/>
    <s v="New York"/>
    <n v="11770"/>
    <n v="5338788.5440574801"/>
    <n v="5338788.5440574801"/>
  </r>
  <r>
    <x v="1"/>
    <s v="Pork"/>
    <s v="Pennsylvania"/>
    <n v="949550"/>
    <n v="430709147.15461171"/>
    <n v="430709147.15461171"/>
  </r>
  <r>
    <x v="1"/>
    <s v="Pork"/>
    <s v="Virginia"/>
    <n v="0"/>
    <n v="0"/>
    <n v="0"/>
  </r>
  <r>
    <x v="1"/>
    <s v="Pork"/>
    <s v="West Virginia"/>
    <n v="2720"/>
    <n v="1233772.7136649401"/>
    <n v="1233772.7136649401"/>
  </r>
  <r>
    <x v="2"/>
    <s v="Pork"/>
    <s v="Delaware"/>
    <n v="4421"/>
    <n v="2005334.2526149633"/>
    <n v="2005334.2526149633"/>
  </r>
  <r>
    <x v="2"/>
    <s v="Pork"/>
    <s v="Maryland"/>
    <n v="0"/>
    <n v="0"/>
    <n v="0"/>
  </r>
  <r>
    <x v="2"/>
    <s v="Pork"/>
    <s v="New York"/>
    <n v="7246"/>
    <n v="3286734.2217706456"/>
    <n v="3286734.2217706456"/>
  </r>
  <r>
    <x v="2"/>
    <s v="Pork"/>
    <s v="Pennsylvania"/>
    <n v="753523"/>
    <n v="341792689.89667159"/>
    <n v="341792689.89667159"/>
  </r>
  <r>
    <x v="2"/>
    <s v="Pork"/>
    <s v="Virginia"/>
    <n v="676192"/>
    <n v="306715896.61710411"/>
    <n v="306715896.61710411"/>
  </r>
  <r>
    <x v="2"/>
    <s v="Pork"/>
    <s v="West Virginia"/>
    <n v="2084"/>
    <n v="945287.62326387328"/>
    <n v="945287.62326387328"/>
  </r>
  <r>
    <x v="3"/>
    <s v="Pork"/>
    <s v="Delaware"/>
    <n v="4352"/>
    <n v="1974036.3418639041"/>
    <n v="1974036.3418639041"/>
  </r>
  <r>
    <x v="3"/>
    <s v="Pork"/>
    <s v="Maryland"/>
    <n v="0"/>
    <n v="0"/>
    <n v="0"/>
  </r>
  <r>
    <x v="3"/>
    <s v="Pork"/>
    <s v="New York"/>
    <n v="5390"/>
    <n v="2444865.7818580982"/>
    <n v="2444865.7818580982"/>
  </r>
  <r>
    <x v="3"/>
    <s v="Pork"/>
    <s v="Pennsylvania"/>
    <n v="746889"/>
    <n v="338783554.53547555"/>
    <n v="338783554.53547555"/>
  </r>
  <r>
    <x v="3"/>
    <s v="Pork"/>
    <s v="Virginia"/>
    <n v="624870"/>
    <n v="283436601.31904823"/>
    <n v="283436601.31904823"/>
  </r>
  <r>
    <x v="3"/>
    <s v="Pork"/>
    <s v="West Virginia"/>
    <n v="2138"/>
    <n v="969781.64037339773"/>
    <n v="969781.64037339773"/>
  </r>
  <r>
    <x v="4"/>
    <s v="Pork"/>
    <s v="Delaware"/>
    <n v="5207"/>
    <n v="2361858.2794313761"/>
    <n v="2361858.2794313761"/>
  </r>
  <r>
    <x v="4"/>
    <s v="Pork"/>
    <s v="Maryland"/>
    <n v="0"/>
    <n v="0"/>
    <n v="0"/>
  </r>
  <r>
    <x v="4"/>
    <s v="Pork"/>
    <s v="New York"/>
    <n v="7034"/>
    <n v="3190572.5249702898"/>
    <n v="3190572.5249702898"/>
  </r>
  <r>
    <x v="4"/>
    <s v="Pork"/>
    <s v="Pennsylvania"/>
    <n v="648983"/>
    <n v="294374087.14426976"/>
    <n v="294374087.14426976"/>
  </r>
  <r>
    <x v="4"/>
    <s v="Pork"/>
    <s v="Virginia"/>
    <n v="1064738"/>
    <n v="482957607.20668417"/>
    <n v="482957607.20668417"/>
  </r>
  <r>
    <x v="4"/>
    <s v="Pork"/>
    <s v="West Virginia"/>
    <n v="2456"/>
    <n v="1114024.1855739313"/>
    <n v="1114024.18557393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0032F-1A33-4F41-B093-C806D4D3294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5:B41" firstHeaderRow="1" firstDataRow="1" firstDataCol="1"/>
  <pivotFields count="5"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kg of egg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DCB2B-A24E-684A-92C3-A454063CFC8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">
  <location ref="A34:H41" firstHeaderRow="1" firstDataRow="2" firstDataCol="1"/>
  <pivotFields count="10">
    <pivotField axis="axisRow" compact="0" outline="0" showAll="0">
      <items count="6">
        <item x="4"/>
        <item x="3"/>
        <item x="2"/>
        <item x="1"/>
        <item x="0"/>
        <item t="default"/>
      </items>
    </pivotField>
    <pivotField compact="0" outline="0" showAll="0"/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numFmtId="165" outline="0" showAll="0"/>
    <pivotField compact="0" numFmtId="44" outline="0" showAll="0"/>
    <pivotField compact="0" numFmtId="11" outline="0" showAll="0"/>
    <pivotField compact="0" numFmtId="11" outline="0" showAll="0"/>
    <pivotField compact="0" numFmtId="11" outline="0" showAll="0"/>
    <pivotField compact="0" outline="0" showAll="0"/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kg of meat/animal.yr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35C33-CD36-5B44-8F41-9386378D02C8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7:B43" firstHeaderRow="1" firstDataRow="1" firstDataCol="1"/>
  <pivotFields count="10"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Meat kg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70534-BCFA-A348-BC7E-A16B396DBE06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6:B42" firstHeaderRow="1" firstDataRow="1" firstDataCol="1"/>
  <pivotFields count="6"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kg of Cattle Mea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278B3-3FEF-CE40-87AC-23DFA7A1F024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B37:C43" firstHeaderRow="1" firstDataRow="1" firstDataCol="1"/>
  <pivotFields count="6"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kg of meats certifi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4A229-AAAE-564C-AC53-DD2D33686DBA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B45:C51" firstHeaderRow="1" firstDataRow="1" firstDataCol="1"/>
  <pivotFields count="6"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kg of meats certified" fld="5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53D7E-37B5-044F-A9A5-A522F6F04DC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G5:AB13" firstHeaderRow="1" firstDataRow="3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numFmtId="11" showAll="0">
      <items count="31">
        <item x="24"/>
        <item x="29"/>
        <item x="12"/>
        <item x="18"/>
        <item x="6"/>
        <item x="23"/>
        <item x="11"/>
        <item x="0"/>
        <item x="17"/>
        <item x="5"/>
        <item x="25"/>
        <item x="13"/>
        <item x="19"/>
        <item x="7"/>
        <item x="1"/>
        <item x="28"/>
        <item x="10"/>
        <item x="16"/>
        <item x="22"/>
        <item x="4"/>
        <item x="9"/>
        <item x="27"/>
        <item x="15"/>
        <item x="21"/>
        <item x="3"/>
        <item x="8"/>
        <item x="14"/>
        <item x="2"/>
        <item x="20"/>
        <item x="26"/>
        <item t="default"/>
      </items>
    </pivotField>
    <pivotField dataField="1" showAll="0">
      <items count="31">
        <item x="24"/>
        <item x="29"/>
        <item x="12"/>
        <item x="18"/>
        <item x="6"/>
        <item x="23"/>
        <item x="0"/>
        <item x="17"/>
        <item x="11"/>
        <item x="5"/>
        <item x="25"/>
        <item x="19"/>
        <item x="13"/>
        <item x="7"/>
        <item x="28"/>
        <item x="1"/>
        <item x="22"/>
        <item x="16"/>
        <item x="10"/>
        <item x="4"/>
        <item x="27"/>
        <item x="21"/>
        <item x="15"/>
        <item x="9"/>
        <item x="3"/>
        <item x="14"/>
        <item x="8"/>
        <item x="20"/>
        <item x="26"/>
        <item x="2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21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kg of Meat (e+6)" fld="2" showDataAs="percent" baseField="0" baseItem="0" numFmtId="10"/>
    <dataField name="Sum of Sum of N of animals (e+3)" fld="3" showDataAs="percent" baseField="0" baseItem="0" numFmtId="10"/>
    <dataField name="Sum of Sum of kg of meat/animal.yr (e+3)" fld="4" showDataAs="percent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6AB84-E56E-5E47-A3BC-4744AAE3CA6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G5:AB13" firstHeaderRow="1" firstDataRow="3" firstDataCol="1"/>
  <pivotFields count="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numFmtId="1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1"/>
  </colFields>
  <colItems count="21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  <i t="grand">
      <x/>
    </i>
    <i t="grand" i="1">
      <x/>
    </i>
    <i t="grand" i="2">
      <x/>
    </i>
  </colItems>
  <dataFields count="3">
    <dataField name="Sum of kg of Meat (e+6)" fld="2" baseField="0" baseItem="0" numFmtId="11"/>
    <dataField name="Sum of Sum of N of animals (e+3)" fld="3" baseField="0" baseItem="0"/>
    <dataField name="Sum of Sum of kg of meat/animal.yr (e+3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5-05-14T00:44:48.67" personId="{44EE6298-2B81-154D-89DC-AF86CF896CCC}" id="{CE2A7FBA-E0FB-2441-ACCF-F161DDBAA5BF}">
    <text>I am considering all the eggs (hatched+table). PA is the state with more eggs in general (more then the sum of the others) and its ratio of table eggs is a 16:1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4" dT="2025-05-13T00:35:53.40" personId="{44EE6298-2B81-154D-89DC-AF86CF896CCC}" id="{85D45ED4-B301-8046-B7F3-C20D846ABCB2}">
    <text xml:space="preserve">I repeated just because it was not disclosed
</text>
  </threadedComment>
  <threadedComment ref="M10" dT="2025-05-13T00:36:11.30" personId="{44EE6298-2B81-154D-89DC-AF86CF896CCC}" id="{0C30FCDF-3DDC-1C4E-A834-E73FC9E0C7C4}">
    <text>I repeated because it was not disclosed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8" dT="2025-05-13T00:38:12.63" personId="{44EE6298-2B81-154D-89DC-AF86CF896CCC}" id="{794E8DFC-BCD6-8247-84C8-77355FD744EB}">
    <text xml:space="preserve">Copied because it was not disclosed
</text>
  </threadedComment>
  <threadedComment ref="E14" dT="2025-05-13T00:38:12.63" personId="{44EE6298-2B81-154D-89DC-AF86CF896CCC}" id="{CE956EFD-CBE5-A249-AED9-FAC01DF51AFC}">
    <text xml:space="preserve">Copied because it was not disclosed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9" dT="2025-05-13T00:45:18.72" personId="{44EE6298-2B81-154D-89DC-AF86CF896CCC}" id="{C6A77106-A402-D34F-B7A5-3830805713BB}">
    <text>Copied year 2017 to not be empty due to not informed data</text>
  </threadedComment>
  <threadedComment ref="E27" dT="2025-05-13T00:40:06.99" personId="{44EE6298-2B81-154D-89DC-AF86CF896CCC}" id="{231F5136-A3B7-9943-9478-721DB08D17F7}">
    <text xml:space="preserve">copied from 2012 because it was not disclosed
</text>
  </threadedComment>
  <threadedComment ref="E30" dT="2025-05-13T00:40:37.78" personId="{44EE6298-2B81-154D-89DC-AF86CF896CCC}" id="{4C0419BA-1C3E-5841-9B68-173E35F58DE6}">
    <text>Copied from 2007 because it was not disclosed</text>
  </threadedComment>
  <threadedComment ref="E33" dT="2025-05-13T00:40:06.99" personId="{44EE6298-2B81-154D-89DC-AF86CF896CCC}" id="{78BE8E30-B892-424F-974F-972FCDBD79A0}">
    <text xml:space="preserve">copied from 2012 because it was not disclosed
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downloads.usda.library.cornell.edu/usda-esmis/files/1v53jw96n/m326m852c/dz010x51j/ckegan19.pdf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downloads.usda.library.cornell.edu/usda-esmis/files/1v53jw96n/j9603p32q/tx31s596z/ckegan24.pdf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downloads.usda.library.cornell.edu/usda-esmis/files/1v53jw96n/h702q894t/h128nh539/ChickEgg-01-29-2004.pdf" TargetMode="External"/><Relationship Id="rId5" Type="http://schemas.openxmlformats.org/officeDocument/2006/relationships/hyperlink" Target="https://downloads.usda.library.cornell.edu/usda-esmis/files/1v53jw96n/d217qr90z/0c483n00q/ChickEgg-02-28-2008.pdf" TargetMode="External"/><Relationship Id="rId4" Type="http://schemas.openxmlformats.org/officeDocument/2006/relationships/hyperlink" Target="https://downloads.usda.library.cornell.edu/usda-esmis/files/1v53jw96n/s7526f739/g445cg75q/ChickEgg-02-27-2014.pdf" TargetMode="External"/><Relationship Id="rId9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quickstats.nass.usda.gov/results/28867FA2-AF7E-36D2-86DA-1A12A280DA34" TargetMode="External"/><Relationship Id="rId2" Type="http://schemas.openxmlformats.org/officeDocument/2006/relationships/hyperlink" Target="https://quickstats.nass.usda.gov/results/093ABCF1-A9C9-303A-BA6C-F11CAE4396F9" TargetMode="External"/><Relationship Id="rId1" Type="http://schemas.openxmlformats.org/officeDocument/2006/relationships/pivotTable" Target="../pivotTables/pivotTable2.xml"/><Relationship Id="rId4" Type="http://schemas.openxmlformats.org/officeDocument/2006/relationships/hyperlink" Target="https://www.fmma30.com/MailboxPrices/2022MailboxPrices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downloads.usda.library.cornell.edu/usda-esmis/files/r207tp32d/8p58qs65g/g445dv089/lsan0423.pdf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downloads.usda.library.cornell.edu/usda-esmis/files/r207tp32d/cn69m6457/pc289m639/LiveSlauSu-04-18-2018.pdf" TargetMode="External"/><Relationship Id="rId1" Type="http://schemas.openxmlformats.org/officeDocument/2006/relationships/pivotTable" Target="../pivotTables/pivotTable3.xml"/><Relationship Id="rId6" Type="http://schemas.openxmlformats.org/officeDocument/2006/relationships/hyperlink" Target="https://downloads.usda.library.cornell.edu/usda-esmis/files/r207tp32d/b5644v43h/9z9032402/LiveSlauSu-03-07-2003.pdf" TargetMode="External"/><Relationship Id="rId5" Type="http://schemas.openxmlformats.org/officeDocument/2006/relationships/hyperlink" Target="https://downloads.usda.library.cornell.edu/usda-esmis/files/r207tp32d/3484zk55p/j098zd503/LiveSlauSu-03-07-2008_revision.pdf" TargetMode="External"/><Relationship Id="rId10" Type="http://schemas.microsoft.com/office/2017/10/relationships/threadedComment" Target="../threadedComments/threadedComment2.xml"/><Relationship Id="rId4" Type="http://schemas.openxmlformats.org/officeDocument/2006/relationships/hyperlink" Target="https://downloads.usda.library.cornell.edu/usda-esmis/files/r207tp32d/cj82k997g/vm40xv299/LiveSlauSu-04-22-2013.pdf" TargetMode="External"/><Relationship Id="rId9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wnloads.usda.library.cornell.edu/usda-esmis/files/r207tp32d/b5644v43h/9z9032402/LiveSlauSu-03-07-2003.pdf" TargetMode="External"/><Relationship Id="rId7" Type="http://schemas.microsoft.com/office/2017/10/relationships/threadedComment" Target="../threadedComments/threadedComment3.xml"/><Relationship Id="rId2" Type="http://schemas.openxmlformats.org/officeDocument/2006/relationships/hyperlink" Target="https://downloads.usda.library.cornell.edu/usda-esmis/files/r207tp32d/8p58qs65g/g445dv089/lsan0423.pdf" TargetMode="External"/><Relationship Id="rId1" Type="http://schemas.openxmlformats.org/officeDocument/2006/relationships/pivotTable" Target="../pivotTables/pivotTable4.xm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hyperlink" Target="https://downloads.usda.library.cornell.edu/usda-esmis/files/pg15bd88s/br86b638d/4f16c564f/PoulSlauSu-02-26-2018.pdf" TargetMode="External"/><Relationship Id="rId7" Type="http://schemas.openxmlformats.org/officeDocument/2006/relationships/vmlDrawing" Target="../drawings/vmlDrawing4.vml"/><Relationship Id="rId2" Type="http://schemas.openxmlformats.org/officeDocument/2006/relationships/hyperlink" Target="https://downloads.usda.library.cornell.edu/usda-esmis/files/pg15bd88s/m613p944x/ht24xx05j/pslaan23.pdf" TargetMode="External"/><Relationship Id="rId1" Type="http://schemas.openxmlformats.org/officeDocument/2006/relationships/pivotTable" Target="../pivotTables/pivotTable5.xml"/><Relationship Id="rId6" Type="http://schemas.openxmlformats.org/officeDocument/2006/relationships/hyperlink" Target="https://downloads.usda.library.cornell.edu/usda-esmis/files/pg15bd88s/cn69m649b/ht24wn22c/PoulSlauSu-03-07-2003.pdf" TargetMode="External"/><Relationship Id="rId5" Type="http://schemas.openxmlformats.org/officeDocument/2006/relationships/hyperlink" Target="https://downloads.usda.library.cornell.edu/usda-esmis/files/pg15bd88s/kd17cw364/qn59q6557/PoulSlauSu-02-25-2009.pdf" TargetMode="External"/><Relationship Id="rId4" Type="http://schemas.openxmlformats.org/officeDocument/2006/relationships/hyperlink" Target="https://downloads.usda.library.cornell.edu/usda-esmis/files/pg15bd88s/qr46r331w/c534fr71b/PoulSlauSu-02-25-2013.pdf" TargetMode="External"/><Relationship Id="rId9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mments" Target="../comments5.xml"/><Relationship Id="rId3" Type="http://schemas.openxmlformats.org/officeDocument/2006/relationships/hyperlink" Target="https://downloads.usda.library.cornell.edu/usda-esmis/files/pg15bd88s/br86b638d/4f16c564f/PoulSlauSu-02-26-2018.pdf" TargetMode="External"/><Relationship Id="rId7" Type="http://schemas.openxmlformats.org/officeDocument/2006/relationships/vmlDrawing" Target="../drawings/vmlDrawing5.vml"/><Relationship Id="rId2" Type="http://schemas.openxmlformats.org/officeDocument/2006/relationships/hyperlink" Target="https://downloads.usda.library.cornell.edu/usda-esmis/files/pg15bd88s/m613p944x/ht24xx05j/pslaan23.pdf" TargetMode="External"/><Relationship Id="rId1" Type="http://schemas.openxmlformats.org/officeDocument/2006/relationships/pivotTable" Target="../pivotTables/pivotTable6.xml"/><Relationship Id="rId6" Type="http://schemas.openxmlformats.org/officeDocument/2006/relationships/hyperlink" Target="https://downloads.usda.library.cornell.edu/usda-esmis/files/pg15bd88s/cn69m649b/ht24wn22c/PoulSlauSu-03-07-2003.pdf" TargetMode="External"/><Relationship Id="rId5" Type="http://schemas.openxmlformats.org/officeDocument/2006/relationships/hyperlink" Target="https://downloads.usda.library.cornell.edu/usda-esmis/files/pg15bd88s/kd17cw364/qn59q6557/PoulSlauSu-02-25-2009.pdf" TargetMode="External"/><Relationship Id="rId4" Type="http://schemas.openxmlformats.org/officeDocument/2006/relationships/hyperlink" Target="https://downloads.usda.library.cornell.edu/usda-esmis/files/pg15bd88s/qr46r331w/c534fr71b/PoulSlauSu-02-25-2013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562F-7B43-E446-B86F-64444BAFF22A}">
  <dimension ref="A1:Q50"/>
  <sheetViews>
    <sheetView workbookViewId="0">
      <selection activeCell="M22" sqref="M22"/>
    </sheetView>
  </sheetViews>
  <sheetFormatPr baseColWidth="10" defaultRowHeight="16" x14ac:dyDescent="0.2"/>
  <cols>
    <col min="3" max="7" width="14.5" bestFit="1" customWidth="1"/>
    <col min="12" max="12" width="20" bestFit="1" customWidth="1"/>
  </cols>
  <sheetData>
    <row r="1" spans="1:13" x14ac:dyDescent="0.2">
      <c r="A1" s="32" t="s">
        <v>41</v>
      </c>
      <c r="B1" s="32">
        <v>2002</v>
      </c>
      <c r="C1" s="32">
        <v>2007</v>
      </c>
      <c r="D1" s="32">
        <v>2012</v>
      </c>
      <c r="E1" s="32">
        <v>2017</v>
      </c>
      <c r="F1" s="32">
        <v>2022</v>
      </c>
    </row>
    <row r="2" spans="1:13" x14ac:dyDescent="0.2">
      <c r="A2" t="s">
        <v>1</v>
      </c>
      <c r="B2" s="4">
        <v>697199063.784235</v>
      </c>
      <c r="C2" s="4">
        <v>623341437.52664864</v>
      </c>
      <c r="D2" s="4">
        <v>602013952.51789427</v>
      </c>
      <c r="E2" s="4">
        <v>637645036.33279204</v>
      </c>
      <c r="F2" s="4">
        <v>716237265.37906778</v>
      </c>
    </row>
    <row r="3" spans="1:13" x14ac:dyDescent="0.2">
      <c r="A3" t="s">
        <v>0</v>
      </c>
      <c r="B3" s="4">
        <v>13167800000</v>
      </c>
      <c r="C3" s="4">
        <v>11133600000</v>
      </c>
      <c r="D3" s="4">
        <v>12041900000</v>
      </c>
      <c r="E3" s="4">
        <v>13116700000</v>
      </c>
      <c r="F3" s="4">
        <v>12468800000</v>
      </c>
    </row>
    <row r="4" spans="1:13" x14ac:dyDescent="0.2">
      <c r="A4" t="s">
        <v>2</v>
      </c>
      <c r="B4" s="4"/>
      <c r="C4" s="4"/>
      <c r="D4" s="4"/>
      <c r="E4" s="4"/>
      <c r="F4" s="4"/>
    </row>
    <row r="5" spans="1:13" x14ac:dyDescent="0.2">
      <c r="A5" t="s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13" x14ac:dyDescent="0.2">
      <c r="A6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13" x14ac:dyDescent="0.2">
      <c r="A7" t="s">
        <v>5</v>
      </c>
      <c r="B7" s="4">
        <v>527706000</v>
      </c>
      <c r="C7" s="4">
        <v>491454000</v>
      </c>
      <c r="D7" s="4">
        <v>536085000</v>
      </c>
      <c r="E7" s="4">
        <v>634296000</v>
      </c>
      <c r="F7" s="4">
        <v>622514100</v>
      </c>
    </row>
    <row r="8" spans="1:13" x14ac:dyDescent="0.2">
      <c r="A8" t="s">
        <v>6</v>
      </c>
      <c r="B8" s="4">
        <v>1545415082.8714247</v>
      </c>
      <c r="C8" s="4">
        <v>1647571009.9699724</v>
      </c>
      <c r="D8" s="4">
        <v>1892987453.6201253</v>
      </c>
      <c r="E8" s="4">
        <v>2214583465.6312656</v>
      </c>
      <c r="F8" s="4">
        <v>2328382669.1221166</v>
      </c>
    </row>
    <row r="9" spans="1:13" x14ac:dyDescent="0.2">
      <c r="A9" t="s">
        <v>7</v>
      </c>
      <c r="B9" s="4">
        <v>359174764.85976505</v>
      </c>
      <c r="C9" s="4">
        <v>101810868.14159817</v>
      </c>
      <c r="D9" s="4">
        <v>342065289.49987084</v>
      </c>
      <c r="E9" s="4">
        <v>385652290.00235343</v>
      </c>
      <c r="F9" s="4">
        <v>144306054.17582339</v>
      </c>
    </row>
    <row r="10" spans="1:13" x14ac:dyDescent="0.2">
      <c r="A10" s="33" t="s">
        <v>8</v>
      </c>
      <c r="B10" s="37">
        <v>0</v>
      </c>
      <c r="C10" s="37">
        <v>0</v>
      </c>
      <c r="D10" s="37">
        <v>0</v>
      </c>
      <c r="E10" s="37">
        <v>0</v>
      </c>
      <c r="F10" s="37">
        <v>0</v>
      </c>
    </row>
    <row r="16" spans="1:13" x14ac:dyDescent="0.2">
      <c r="C16" s="59" t="s">
        <v>118</v>
      </c>
      <c r="D16" s="54">
        <v>2002</v>
      </c>
      <c r="E16" s="54">
        <v>2007</v>
      </c>
      <c r="F16" s="54">
        <v>2012</v>
      </c>
      <c r="G16" s="54">
        <v>2017</v>
      </c>
      <c r="H16" s="54">
        <v>2022</v>
      </c>
      <c r="I16" s="62"/>
      <c r="J16" s="62"/>
      <c r="K16" s="62"/>
      <c r="L16" s="62"/>
      <c r="M16" s="62"/>
    </row>
    <row r="17" spans="1:17" x14ac:dyDescent="0.2">
      <c r="C17" s="60"/>
      <c r="D17" s="61" t="s">
        <v>119</v>
      </c>
      <c r="E17" s="61"/>
      <c r="F17" s="61"/>
      <c r="G17" s="61"/>
      <c r="H17" s="61"/>
      <c r="L17" s="63" t="s">
        <v>129</v>
      </c>
      <c r="M17" s="51">
        <v>2002</v>
      </c>
      <c r="N17" s="51">
        <v>2007</v>
      </c>
      <c r="O17" s="51">
        <v>2012</v>
      </c>
      <c r="P17" s="51">
        <v>2017</v>
      </c>
      <c r="Q17" s="51">
        <v>2022</v>
      </c>
    </row>
    <row r="18" spans="1:17" x14ac:dyDescent="0.2">
      <c r="C18" s="52" t="s">
        <v>114</v>
      </c>
      <c r="D18" s="53">
        <v>572.26</v>
      </c>
      <c r="E18" s="53">
        <v>562.03</v>
      </c>
      <c r="F18" s="53">
        <v>538.51</v>
      </c>
      <c r="G18" s="53">
        <v>552.84</v>
      </c>
      <c r="H18" s="53">
        <v>567.23</v>
      </c>
      <c r="L18" s="64"/>
      <c r="M18" s="65" t="s">
        <v>121</v>
      </c>
      <c r="N18" s="65"/>
      <c r="O18" s="65"/>
      <c r="P18" s="65"/>
      <c r="Q18" s="65"/>
    </row>
    <row r="19" spans="1:17" x14ac:dyDescent="0.2">
      <c r="A19" s="1"/>
      <c r="B19" s="1"/>
      <c r="C19" s="52" t="s">
        <v>127</v>
      </c>
      <c r="D19" s="53">
        <v>8942.2000000000007</v>
      </c>
      <c r="E19" s="53">
        <v>8219.3700000000008</v>
      </c>
      <c r="F19" s="53">
        <v>9243.99</v>
      </c>
      <c r="G19" s="53">
        <v>10065.15</v>
      </c>
      <c r="H19" s="53">
        <v>10435.93</v>
      </c>
      <c r="L19" s="46" t="s">
        <v>120</v>
      </c>
      <c r="M19" s="48">
        <v>220930.1</v>
      </c>
      <c r="N19" s="48">
        <v>171458.3</v>
      </c>
      <c r="O19" s="48">
        <v>142014.20000000001</v>
      </c>
      <c r="P19" s="48">
        <v>127014.2</v>
      </c>
      <c r="Q19" s="48">
        <v>110276.4</v>
      </c>
    </row>
    <row r="20" spans="1:17" x14ac:dyDescent="0.2">
      <c r="A20" s="3"/>
      <c r="B20" s="3"/>
      <c r="C20" s="52" t="s">
        <v>125</v>
      </c>
      <c r="D20" s="53">
        <v>115</v>
      </c>
      <c r="E20" s="53">
        <v>115.96</v>
      </c>
      <c r="F20" s="53">
        <v>120.19</v>
      </c>
      <c r="G20" s="53">
        <v>122.98</v>
      </c>
      <c r="H20" s="53">
        <v>127.8</v>
      </c>
      <c r="L20" s="46" t="s">
        <v>128</v>
      </c>
      <c r="M20" s="48">
        <v>678243.5</v>
      </c>
      <c r="N20" s="48">
        <v>613988.4</v>
      </c>
      <c r="O20" s="48">
        <v>593184.19999999995</v>
      </c>
      <c r="P20" s="48">
        <v>578981.69999999995</v>
      </c>
      <c r="Q20" s="48">
        <v>506889.7</v>
      </c>
    </row>
    <row r="21" spans="1:17" x14ac:dyDescent="0.2">
      <c r="A21" s="3"/>
      <c r="B21" s="3"/>
      <c r="C21" s="52" t="s">
        <v>126</v>
      </c>
      <c r="D21" s="53">
        <v>15.46</v>
      </c>
      <c r="E21" s="53">
        <v>15.81</v>
      </c>
      <c r="F21" s="53">
        <v>16.2</v>
      </c>
      <c r="G21" s="53">
        <v>16.64</v>
      </c>
      <c r="H21" s="53">
        <v>17.309999999999999</v>
      </c>
      <c r="L21" s="46" t="s">
        <v>123</v>
      </c>
      <c r="M21" s="48">
        <v>3293664.1</v>
      </c>
      <c r="N21" s="48">
        <v>3331669</v>
      </c>
      <c r="O21" s="48">
        <v>3483264.4</v>
      </c>
      <c r="P21" s="48">
        <v>4066815.4</v>
      </c>
      <c r="Q21" s="48">
        <v>4037445.8</v>
      </c>
    </row>
    <row r="22" spans="1:17" x14ac:dyDescent="0.2">
      <c r="A22" s="3"/>
      <c r="B22" s="3"/>
      <c r="C22" s="52" t="s">
        <v>116</v>
      </c>
      <c r="D22" s="53">
        <v>2.37</v>
      </c>
      <c r="E22" s="53">
        <v>2.58</v>
      </c>
      <c r="F22" s="53">
        <v>2.62</v>
      </c>
      <c r="G22" s="53">
        <v>2.76</v>
      </c>
      <c r="H22" s="53">
        <v>3.05</v>
      </c>
      <c r="L22" s="46" t="s">
        <v>115</v>
      </c>
      <c r="M22" s="48">
        <v>26094882.5</v>
      </c>
      <c r="N22" s="48">
        <v>23511955.300000001</v>
      </c>
      <c r="O22" s="48">
        <v>26869817.100000001</v>
      </c>
      <c r="P22" s="48">
        <v>29303069.5</v>
      </c>
      <c r="Q22" s="48">
        <v>30288071</v>
      </c>
    </row>
    <row r="23" spans="1:17" x14ac:dyDescent="0.2">
      <c r="A23" s="3"/>
      <c r="B23" s="3"/>
      <c r="C23" s="55" t="s">
        <v>117</v>
      </c>
      <c r="D23" s="56">
        <v>10.24</v>
      </c>
      <c r="E23" s="56">
        <v>11.01</v>
      </c>
      <c r="F23" s="56">
        <v>11.78</v>
      </c>
      <c r="G23" s="56">
        <v>12.57</v>
      </c>
      <c r="H23" s="56">
        <v>12.47</v>
      </c>
      <c r="L23" s="46" t="s">
        <v>124</v>
      </c>
      <c r="M23" s="48">
        <v>834003545.39999998</v>
      </c>
      <c r="N23" s="48">
        <v>840290756.70000005</v>
      </c>
      <c r="O23" s="48">
        <v>841591503.79999995</v>
      </c>
      <c r="P23" s="48">
        <v>893235760.79999995</v>
      </c>
      <c r="Q23" s="48">
        <v>893339446.70000005</v>
      </c>
    </row>
    <row r="24" spans="1:17" x14ac:dyDescent="0.2">
      <c r="A24" s="3"/>
      <c r="B24" s="3"/>
      <c r="C24" s="47"/>
      <c r="L24" s="49" t="s">
        <v>122</v>
      </c>
      <c r="M24" s="50">
        <v>33139986.899999999</v>
      </c>
      <c r="N24" s="50">
        <v>32125055.199999999</v>
      </c>
      <c r="O24" s="50">
        <v>28880098</v>
      </c>
      <c r="P24" s="50">
        <v>27163107</v>
      </c>
      <c r="Q24" s="50">
        <v>26415758.699999999</v>
      </c>
    </row>
    <row r="25" spans="1:17" x14ac:dyDescent="0.2">
      <c r="A25" s="3"/>
      <c r="B25" s="3"/>
      <c r="C25" s="3"/>
      <c r="D25" s="3"/>
      <c r="E25" s="3"/>
      <c r="F25" s="3"/>
      <c r="G25" s="3"/>
    </row>
    <row r="26" spans="1:17" x14ac:dyDescent="0.2">
      <c r="A26" s="3"/>
      <c r="B26" s="3"/>
      <c r="C26" s="3"/>
      <c r="D26" s="3"/>
      <c r="E26" s="3"/>
      <c r="F26" s="3"/>
      <c r="G26" s="3"/>
    </row>
    <row r="27" spans="1:17" x14ac:dyDescent="0.2">
      <c r="A27" s="3"/>
    </row>
    <row r="28" spans="1:17" x14ac:dyDescent="0.2">
      <c r="A28" s="3"/>
    </row>
    <row r="29" spans="1:17" x14ac:dyDescent="0.2">
      <c r="A29" s="3"/>
    </row>
    <row r="30" spans="1:17" x14ac:dyDescent="0.2">
      <c r="A30" s="1" t="s">
        <v>28</v>
      </c>
    </row>
    <row r="36" spans="2:7" x14ac:dyDescent="0.2">
      <c r="B36" s="8"/>
      <c r="C36" s="3"/>
    </row>
    <row r="37" spans="2:7" x14ac:dyDescent="0.2">
      <c r="B37" s="3"/>
      <c r="C37" s="3"/>
    </row>
    <row r="38" spans="2:7" x14ac:dyDescent="0.2">
      <c r="B38" s="3"/>
      <c r="C38" s="3"/>
    </row>
    <row r="39" spans="2:7" x14ac:dyDescent="0.2">
      <c r="B39" s="3"/>
      <c r="C39" s="3"/>
    </row>
    <row r="40" spans="2:7" x14ac:dyDescent="0.2">
      <c r="B40" s="3"/>
      <c r="C40" s="3"/>
    </row>
    <row r="41" spans="2:7" x14ac:dyDescent="0.2">
      <c r="B41" s="3"/>
      <c r="C41" s="3"/>
    </row>
    <row r="42" spans="2:7" x14ac:dyDescent="0.2">
      <c r="B42" s="3"/>
      <c r="C42" s="3"/>
    </row>
    <row r="43" spans="2:7" x14ac:dyDescent="0.2">
      <c r="B43" s="3"/>
      <c r="C43" s="3"/>
    </row>
    <row r="44" spans="2:7" x14ac:dyDescent="0.2">
      <c r="B44" s="3"/>
      <c r="C44" s="3"/>
    </row>
    <row r="45" spans="2:7" x14ac:dyDescent="0.2">
      <c r="B45" s="1"/>
      <c r="C45" s="1"/>
      <c r="D45" s="1"/>
      <c r="E45" s="1"/>
      <c r="F45" s="1"/>
      <c r="G45" s="1"/>
    </row>
    <row r="46" spans="2:7" x14ac:dyDescent="0.2">
      <c r="B46" s="3"/>
      <c r="C46" s="3"/>
      <c r="D46" s="3"/>
      <c r="E46" s="3"/>
      <c r="F46" s="3"/>
      <c r="G46" s="3"/>
    </row>
    <row r="47" spans="2:7" x14ac:dyDescent="0.2">
      <c r="B47" s="3"/>
      <c r="C47" s="3"/>
      <c r="D47" s="3"/>
      <c r="E47" s="3"/>
      <c r="F47" s="3"/>
      <c r="G47" s="3"/>
    </row>
    <row r="48" spans="2:7" x14ac:dyDescent="0.2">
      <c r="B48" s="3"/>
      <c r="C48" s="3"/>
      <c r="D48" s="3"/>
      <c r="E48" s="3"/>
      <c r="F48" s="3"/>
      <c r="G48" s="3"/>
    </row>
    <row r="49" spans="3:7" x14ac:dyDescent="0.2">
      <c r="C49" s="3"/>
      <c r="D49" s="3"/>
      <c r="E49" s="3"/>
      <c r="F49" s="3"/>
      <c r="G49" s="3"/>
    </row>
    <row r="50" spans="3:7" x14ac:dyDescent="0.2">
      <c r="C50" s="3"/>
      <c r="D50" s="3"/>
      <c r="E50" s="3"/>
      <c r="F50" s="3"/>
      <c r="G50" s="3"/>
    </row>
  </sheetData>
  <mergeCells count="5">
    <mergeCell ref="C16:C17"/>
    <mergeCell ref="D17:H17"/>
    <mergeCell ref="I16:M16"/>
    <mergeCell ref="L17:L18"/>
    <mergeCell ref="M18:Q18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39EF-6F06-F84F-B406-8306ECD8720C}">
  <dimension ref="A1:O41"/>
  <sheetViews>
    <sheetView tabSelected="1" topLeftCell="J1" zoomScale="125" zoomScaleNormal="152" workbookViewId="0">
      <selection activeCell="X9" sqref="X9"/>
    </sheetView>
  </sheetViews>
  <sheetFormatPr baseColWidth="10" defaultRowHeight="16" x14ac:dyDescent="0.2"/>
  <cols>
    <col min="1" max="1" width="13" bestFit="1" customWidth="1"/>
    <col min="2" max="2" width="21.5" bestFit="1" customWidth="1"/>
    <col min="3" max="3" width="5.33203125" bestFit="1" customWidth="1"/>
    <col min="5" max="5" width="17.5" style="4" bestFit="1" customWidth="1"/>
    <col min="6" max="6" width="16.6640625" bestFit="1" customWidth="1"/>
    <col min="7" max="11" width="16.6640625" customWidth="1"/>
    <col min="12" max="12" width="16.6640625" style="40" customWidth="1"/>
    <col min="13" max="13" width="15.33203125" bestFit="1" customWidth="1"/>
  </cols>
  <sheetData>
    <row r="1" spans="2:14" x14ac:dyDescent="0.2">
      <c r="B1" t="s">
        <v>67</v>
      </c>
      <c r="C1">
        <v>57</v>
      </c>
    </row>
    <row r="2" spans="2:14" x14ac:dyDescent="0.2">
      <c r="B2" s="7" t="s">
        <v>24</v>
      </c>
      <c r="C2" s="7" t="s">
        <v>16</v>
      </c>
      <c r="D2" s="7" t="s">
        <v>9</v>
      </c>
      <c r="E2" s="10" t="s">
        <v>43</v>
      </c>
      <c r="F2" s="7" t="s">
        <v>44</v>
      </c>
      <c r="G2" s="7" t="s">
        <v>111</v>
      </c>
      <c r="H2" s="7" t="s">
        <v>101</v>
      </c>
      <c r="I2" s="7"/>
      <c r="J2" s="10" t="s">
        <v>22</v>
      </c>
      <c r="K2" s="10"/>
      <c r="L2" s="44"/>
      <c r="M2" s="7" t="s">
        <v>45</v>
      </c>
      <c r="N2" s="7" t="s">
        <v>25</v>
      </c>
    </row>
    <row r="3" spans="2:14" x14ac:dyDescent="0.2">
      <c r="B3" s="9">
        <v>2022</v>
      </c>
      <c r="C3" s="7" t="s">
        <v>42</v>
      </c>
      <c r="D3" s="7" t="s">
        <v>10</v>
      </c>
      <c r="E3" s="4">
        <v>0</v>
      </c>
      <c r="F3">
        <f>E3*1000000*($C$1/1000)</f>
        <v>0</v>
      </c>
      <c r="M3" t="s">
        <v>46</v>
      </c>
      <c r="N3" s="6" t="s">
        <v>47</v>
      </c>
    </row>
    <row r="4" spans="2:14" x14ac:dyDescent="0.2">
      <c r="B4" s="7">
        <v>2022</v>
      </c>
      <c r="C4" s="7" t="s">
        <v>42</v>
      </c>
      <c r="D4" s="7" t="s">
        <v>11</v>
      </c>
      <c r="E4" s="4">
        <v>587.5</v>
      </c>
      <c r="F4">
        <f t="shared" ref="F4:F32" si="0">E4*1000000*($C$1/1000)</f>
        <v>33487500</v>
      </c>
      <c r="G4">
        <v>304</v>
      </c>
      <c r="H4" s="2">
        <v>1987</v>
      </c>
      <c r="I4">
        <f>H4*1000</f>
        <v>1987000</v>
      </c>
      <c r="J4">
        <f>G4*$C$1/1000</f>
        <v>17.327999999999999</v>
      </c>
      <c r="K4">
        <f>J4*I4</f>
        <v>34430736</v>
      </c>
      <c r="L4" s="40">
        <f>SUM(K4:K8)/SUM(I4:I8)</f>
        <v>17.310699633510556</v>
      </c>
      <c r="M4" t="s">
        <v>65</v>
      </c>
    </row>
    <row r="5" spans="2:14" x14ac:dyDescent="0.2">
      <c r="B5" s="7">
        <v>2022</v>
      </c>
      <c r="C5" s="7" t="s">
        <v>42</v>
      </c>
      <c r="D5" s="7" t="s">
        <v>12</v>
      </c>
      <c r="E5" s="4">
        <v>1774.6</v>
      </c>
      <c r="F5">
        <f t="shared" si="0"/>
        <v>101152200</v>
      </c>
      <c r="G5">
        <v>307</v>
      </c>
      <c r="H5" s="2">
        <v>5783</v>
      </c>
      <c r="I5">
        <f t="shared" ref="I5:I32" si="1">H5*1000</f>
        <v>5783000</v>
      </c>
      <c r="J5">
        <f t="shared" ref="J5:J32" si="2">G5*$C$1/1000</f>
        <v>17.498999999999999</v>
      </c>
      <c r="K5">
        <f t="shared" ref="K5:K32" si="3">J5*I5</f>
        <v>101196717</v>
      </c>
      <c r="M5" t="s">
        <v>64</v>
      </c>
    </row>
    <row r="6" spans="2:14" x14ac:dyDescent="0.2">
      <c r="B6" s="7">
        <v>2022</v>
      </c>
      <c r="C6" s="7" t="s">
        <v>42</v>
      </c>
      <c r="D6" s="7" t="s">
        <v>13</v>
      </c>
      <c r="E6" s="4">
        <v>7873.9</v>
      </c>
      <c r="F6">
        <f t="shared" si="0"/>
        <v>448812300</v>
      </c>
      <c r="G6">
        <v>309</v>
      </c>
      <c r="H6" s="2">
        <v>26988</v>
      </c>
      <c r="I6">
        <f t="shared" si="1"/>
        <v>26988000</v>
      </c>
      <c r="J6">
        <f t="shared" si="2"/>
        <v>17.613</v>
      </c>
      <c r="K6">
        <f t="shared" si="3"/>
        <v>475339644</v>
      </c>
      <c r="M6" t="s">
        <v>65</v>
      </c>
    </row>
    <row r="7" spans="2:14" x14ac:dyDescent="0.2">
      <c r="B7" s="7">
        <v>2022</v>
      </c>
      <c r="C7" s="7" t="s">
        <v>42</v>
      </c>
      <c r="D7" s="7" t="s">
        <v>14</v>
      </c>
      <c r="E7" s="4">
        <v>379.1</v>
      </c>
      <c r="F7">
        <f t="shared" si="0"/>
        <v>21608700</v>
      </c>
      <c r="G7">
        <v>277</v>
      </c>
      <c r="H7" s="2">
        <v>2677</v>
      </c>
      <c r="I7">
        <f t="shared" si="1"/>
        <v>2677000</v>
      </c>
      <c r="J7">
        <f t="shared" si="2"/>
        <v>15.789</v>
      </c>
      <c r="K7">
        <f t="shared" si="3"/>
        <v>42267153</v>
      </c>
      <c r="M7" t="s">
        <v>65</v>
      </c>
    </row>
    <row r="8" spans="2:14" x14ac:dyDescent="0.2">
      <c r="B8" s="7">
        <v>2022</v>
      </c>
      <c r="C8" s="7" t="s">
        <v>42</v>
      </c>
      <c r="D8" s="7" t="s">
        <v>15</v>
      </c>
      <c r="E8" s="4">
        <v>306.2</v>
      </c>
      <c r="F8">
        <f t="shared" si="0"/>
        <v>17453400</v>
      </c>
      <c r="G8">
        <v>234</v>
      </c>
      <c r="H8" s="2">
        <v>1311</v>
      </c>
      <c r="I8">
        <f t="shared" si="1"/>
        <v>1311000</v>
      </c>
      <c r="J8">
        <f t="shared" si="2"/>
        <v>13.337999999999999</v>
      </c>
      <c r="K8">
        <f t="shared" si="3"/>
        <v>17486118</v>
      </c>
      <c r="M8" t="s">
        <v>64</v>
      </c>
    </row>
    <row r="9" spans="2:14" x14ac:dyDescent="0.2">
      <c r="B9" s="9">
        <v>2017</v>
      </c>
      <c r="C9" s="7" t="s">
        <v>42</v>
      </c>
      <c r="D9" s="7" t="s">
        <v>10</v>
      </c>
      <c r="E9" s="4">
        <v>0</v>
      </c>
      <c r="F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M9" t="s">
        <v>46</v>
      </c>
      <c r="N9" s="6" t="s">
        <v>48</v>
      </c>
    </row>
    <row r="10" spans="2:14" x14ac:dyDescent="0.2">
      <c r="B10" s="7">
        <v>2017</v>
      </c>
      <c r="C10" s="7" t="s">
        <v>42</v>
      </c>
      <c r="D10" s="7" t="s">
        <v>11</v>
      </c>
      <c r="E10" s="4">
        <v>819.8</v>
      </c>
      <c r="F10">
        <f t="shared" si="0"/>
        <v>46728600</v>
      </c>
      <c r="G10">
        <v>295</v>
      </c>
      <c r="H10" s="2">
        <v>2851</v>
      </c>
      <c r="I10">
        <f t="shared" si="1"/>
        <v>2851000</v>
      </c>
      <c r="J10">
        <f t="shared" si="2"/>
        <v>16.815000000000001</v>
      </c>
      <c r="K10">
        <f t="shared" si="3"/>
        <v>47939565</v>
      </c>
      <c r="L10" s="40">
        <f>SUM(K10:K14)/SUM(I10:I14)</f>
        <v>16.636038104134911</v>
      </c>
      <c r="M10" t="s">
        <v>65</v>
      </c>
    </row>
    <row r="11" spans="2:14" x14ac:dyDescent="0.2">
      <c r="B11" s="7">
        <v>2017</v>
      </c>
      <c r="C11" s="7" t="s">
        <v>42</v>
      </c>
      <c r="D11" s="7" t="s">
        <v>12</v>
      </c>
      <c r="E11" s="4">
        <v>1717.8</v>
      </c>
      <c r="F11">
        <f t="shared" si="0"/>
        <v>97914600</v>
      </c>
      <c r="G11">
        <v>303</v>
      </c>
      <c r="H11" s="2">
        <v>5660</v>
      </c>
      <c r="I11">
        <f t="shared" si="1"/>
        <v>5660000</v>
      </c>
      <c r="J11">
        <f t="shared" si="2"/>
        <v>17.271000000000001</v>
      </c>
      <c r="K11">
        <f t="shared" si="3"/>
        <v>97753860</v>
      </c>
      <c r="M11" t="s">
        <v>64</v>
      </c>
    </row>
    <row r="12" spans="2:14" x14ac:dyDescent="0.2">
      <c r="B12" s="7">
        <v>2017</v>
      </c>
      <c r="C12" s="7" t="s">
        <v>42</v>
      </c>
      <c r="D12" s="7" t="s">
        <v>13</v>
      </c>
      <c r="E12" s="4">
        <v>7974.6</v>
      </c>
      <c r="F12">
        <f t="shared" si="0"/>
        <v>454552200</v>
      </c>
      <c r="G12">
        <v>295</v>
      </c>
      <c r="H12" s="2">
        <v>28225</v>
      </c>
      <c r="I12">
        <f t="shared" si="1"/>
        <v>28225000</v>
      </c>
      <c r="J12">
        <f t="shared" si="2"/>
        <v>16.815000000000001</v>
      </c>
      <c r="K12">
        <f t="shared" si="3"/>
        <v>474603375.00000006</v>
      </c>
      <c r="M12" t="s">
        <v>65</v>
      </c>
    </row>
    <row r="13" spans="2:14" x14ac:dyDescent="0.2">
      <c r="B13" s="7">
        <v>2017</v>
      </c>
      <c r="C13" s="7" t="s">
        <v>42</v>
      </c>
      <c r="D13" s="7" t="s">
        <v>14</v>
      </c>
      <c r="E13" s="4">
        <v>341.1</v>
      </c>
      <c r="F13">
        <f t="shared" si="0"/>
        <v>19442700</v>
      </c>
      <c r="G13">
        <v>265</v>
      </c>
      <c r="H13" s="2">
        <v>2698</v>
      </c>
      <c r="I13">
        <f t="shared" si="1"/>
        <v>2698000</v>
      </c>
      <c r="J13">
        <f t="shared" si="2"/>
        <v>15.105</v>
      </c>
      <c r="K13">
        <f t="shared" si="3"/>
        <v>40753290</v>
      </c>
      <c r="M13" t="s">
        <v>65</v>
      </c>
    </row>
    <row r="14" spans="2:14" x14ac:dyDescent="0.2">
      <c r="B14" s="7">
        <v>2017</v>
      </c>
      <c r="C14" s="7" t="s">
        <v>42</v>
      </c>
      <c r="D14" s="7" t="s">
        <v>15</v>
      </c>
      <c r="E14" s="4">
        <v>274.7</v>
      </c>
      <c r="F14">
        <f t="shared" si="0"/>
        <v>15657900</v>
      </c>
      <c r="G14">
        <v>221</v>
      </c>
      <c r="H14" s="2">
        <v>1244</v>
      </c>
      <c r="I14">
        <f t="shared" si="1"/>
        <v>1244000</v>
      </c>
      <c r="J14">
        <f t="shared" si="2"/>
        <v>12.597</v>
      </c>
      <c r="K14">
        <f t="shared" si="3"/>
        <v>15670668</v>
      </c>
      <c r="M14" t="s">
        <v>64</v>
      </c>
    </row>
    <row r="15" spans="2:14" x14ac:dyDescent="0.2">
      <c r="B15" s="9">
        <v>2012</v>
      </c>
      <c r="C15" s="7" t="s">
        <v>42</v>
      </c>
      <c r="D15" s="7" t="s">
        <v>10</v>
      </c>
      <c r="E15" s="4">
        <v>0</v>
      </c>
      <c r="F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M15" t="s">
        <v>46</v>
      </c>
      <c r="N15" s="6" t="s">
        <v>63</v>
      </c>
    </row>
    <row r="16" spans="2:14" x14ac:dyDescent="0.2">
      <c r="B16" s="7">
        <v>2012</v>
      </c>
      <c r="C16" s="7" t="s">
        <v>42</v>
      </c>
      <c r="D16" s="7" t="s">
        <v>11</v>
      </c>
      <c r="E16" s="4">
        <v>633</v>
      </c>
      <c r="F16">
        <f t="shared" si="0"/>
        <v>36081000</v>
      </c>
      <c r="G16">
        <v>282</v>
      </c>
      <c r="H16" s="2">
        <v>2291</v>
      </c>
      <c r="I16">
        <f t="shared" si="1"/>
        <v>2291000</v>
      </c>
      <c r="J16">
        <f t="shared" si="2"/>
        <v>16.074000000000002</v>
      </c>
      <c r="K16">
        <f t="shared" si="3"/>
        <v>36825534</v>
      </c>
      <c r="L16" s="40">
        <f t="shared" ref="L16" si="4">SUM(K16:K20)/SUM(I16:I20)</f>
        <v>16.204722739399443</v>
      </c>
      <c r="M16" t="s">
        <v>65</v>
      </c>
    </row>
    <row r="17" spans="2:15" x14ac:dyDescent="0.2">
      <c r="B17" s="7">
        <v>2012</v>
      </c>
      <c r="C17" s="7" t="s">
        <v>42</v>
      </c>
      <c r="D17" s="7" t="s">
        <v>12</v>
      </c>
      <c r="E17" s="4">
        <v>1312</v>
      </c>
      <c r="F17">
        <f t="shared" si="0"/>
        <v>74784000</v>
      </c>
      <c r="G17">
        <v>292</v>
      </c>
      <c r="H17" s="2">
        <v>4492</v>
      </c>
      <c r="I17">
        <f t="shared" si="1"/>
        <v>4492000</v>
      </c>
      <c r="J17">
        <f t="shared" si="2"/>
        <v>16.643999999999998</v>
      </c>
      <c r="K17">
        <f t="shared" si="3"/>
        <v>74764848</v>
      </c>
      <c r="M17" t="s">
        <v>64</v>
      </c>
    </row>
    <row r="18" spans="2:15" x14ac:dyDescent="0.2">
      <c r="B18" s="7">
        <v>2012</v>
      </c>
      <c r="C18" s="7" t="s">
        <v>42</v>
      </c>
      <c r="D18" s="7" t="s">
        <v>13</v>
      </c>
      <c r="E18" s="4">
        <v>6899</v>
      </c>
      <c r="F18">
        <f t="shared" si="0"/>
        <v>393243000</v>
      </c>
      <c r="G18">
        <v>290</v>
      </c>
      <c r="H18" s="2">
        <v>24619</v>
      </c>
      <c r="I18">
        <f t="shared" si="1"/>
        <v>24619000</v>
      </c>
      <c r="J18">
        <f t="shared" si="2"/>
        <v>16.53</v>
      </c>
      <c r="K18">
        <f t="shared" si="3"/>
        <v>406952070</v>
      </c>
      <c r="M18" t="s">
        <v>65</v>
      </c>
      <c r="O18" s="11"/>
    </row>
    <row r="19" spans="2:15" x14ac:dyDescent="0.2">
      <c r="B19" s="7">
        <v>2012</v>
      </c>
      <c r="C19" s="7" t="s">
        <v>42</v>
      </c>
      <c r="D19" s="7" t="s">
        <v>14</v>
      </c>
      <c r="E19" s="4">
        <v>337</v>
      </c>
      <c r="F19">
        <f t="shared" si="0"/>
        <v>19209000</v>
      </c>
      <c r="G19">
        <v>246</v>
      </c>
      <c r="H19" s="2">
        <v>2827</v>
      </c>
      <c r="I19">
        <f t="shared" si="1"/>
        <v>2827000</v>
      </c>
      <c r="J19">
        <f t="shared" si="2"/>
        <v>14.022</v>
      </c>
      <c r="K19">
        <f t="shared" si="3"/>
        <v>39640194</v>
      </c>
      <c r="M19" t="s">
        <v>65</v>
      </c>
    </row>
    <row r="20" spans="2:15" x14ac:dyDescent="0.2">
      <c r="B20" s="7">
        <v>2012</v>
      </c>
      <c r="C20" s="7" t="s">
        <v>42</v>
      </c>
      <c r="D20" s="7" t="s">
        <v>15</v>
      </c>
      <c r="E20" s="4">
        <v>224</v>
      </c>
      <c r="F20">
        <f t="shared" si="0"/>
        <v>12768000</v>
      </c>
      <c r="G20">
        <v>223</v>
      </c>
      <c r="H20" s="2">
        <v>1005</v>
      </c>
      <c r="I20">
        <f t="shared" si="1"/>
        <v>1005000</v>
      </c>
      <c r="J20">
        <f t="shared" si="2"/>
        <v>12.711</v>
      </c>
      <c r="K20">
        <f t="shared" si="3"/>
        <v>12774555</v>
      </c>
      <c r="M20" t="s">
        <v>64</v>
      </c>
    </row>
    <row r="21" spans="2:15" x14ac:dyDescent="0.2">
      <c r="B21" s="9">
        <v>2007</v>
      </c>
      <c r="C21" s="7" t="s">
        <v>42</v>
      </c>
      <c r="D21" s="7" t="s">
        <v>10</v>
      </c>
      <c r="E21" s="4">
        <v>0</v>
      </c>
      <c r="F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M21" t="s">
        <v>46</v>
      </c>
      <c r="N21" s="6" t="s">
        <v>112</v>
      </c>
    </row>
    <row r="22" spans="2:15" x14ac:dyDescent="0.2">
      <c r="B22" s="7">
        <v>2007</v>
      </c>
      <c r="C22" s="7" t="s">
        <v>42</v>
      </c>
      <c r="D22" s="7" t="s">
        <v>11</v>
      </c>
      <c r="E22" s="4">
        <v>680</v>
      </c>
      <c r="F22">
        <f t="shared" si="0"/>
        <v>38760000</v>
      </c>
      <c r="G22">
        <v>265</v>
      </c>
      <c r="H22" s="2">
        <v>2646</v>
      </c>
      <c r="I22">
        <f t="shared" si="1"/>
        <v>2646000</v>
      </c>
      <c r="J22">
        <f t="shared" si="2"/>
        <v>15.105</v>
      </c>
      <c r="K22">
        <f t="shared" si="3"/>
        <v>39967830</v>
      </c>
      <c r="L22" s="40">
        <f>SUM(K22:K26)/SUM(I22:I26)</f>
        <v>15.809460840225732</v>
      </c>
      <c r="M22" t="s">
        <v>65</v>
      </c>
    </row>
    <row r="23" spans="2:15" x14ac:dyDescent="0.2">
      <c r="B23" s="7">
        <v>2007</v>
      </c>
      <c r="C23" s="7" t="s">
        <v>42</v>
      </c>
      <c r="D23" s="7" t="s">
        <v>12</v>
      </c>
      <c r="E23" s="4">
        <v>1127</v>
      </c>
      <c r="F23">
        <f t="shared" si="0"/>
        <v>64239000</v>
      </c>
      <c r="G23">
        <v>289</v>
      </c>
      <c r="H23" s="2">
        <v>3904</v>
      </c>
      <c r="I23">
        <f t="shared" si="1"/>
        <v>3904000</v>
      </c>
      <c r="J23">
        <f t="shared" si="2"/>
        <v>16.472999999999999</v>
      </c>
      <c r="K23">
        <f t="shared" si="3"/>
        <v>64310591.999999993</v>
      </c>
      <c r="M23" t="s">
        <v>64</v>
      </c>
    </row>
    <row r="24" spans="2:15" x14ac:dyDescent="0.2">
      <c r="B24" s="7">
        <v>2007</v>
      </c>
      <c r="C24" s="7" t="s">
        <v>42</v>
      </c>
      <c r="D24" s="7" t="s">
        <v>13</v>
      </c>
      <c r="E24" s="4">
        <v>6161</v>
      </c>
      <c r="F24">
        <f t="shared" si="0"/>
        <v>351177000</v>
      </c>
      <c r="G24">
        <v>284</v>
      </c>
      <c r="H24" s="2">
        <v>22514</v>
      </c>
      <c r="I24">
        <f t="shared" si="1"/>
        <v>22514000</v>
      </c>
      <c r="J24">
        <f t="shared" si="2"/>
        <v>16.187999999999999</v>
      </c>
      <c r="K24">
        <f t="shared" si="3"/>
        <v>364456632</v>
      </c>
      <c r="M24" t="s">
        <v>65</v>
      </c>
    </row>
    <row r="25" spans="2:15" x14ac:dyDescent="0.2">
      <c r="B25" s="7">
        <v>2007</v>
      </c>
      <c r="C25" s="7" t="s">
        <v>42</v>
      </c>
      <c r="D25" s="7" t="s">
        <v>14</v>
      </c>
      <c r="E25" s="4">
        <v>382</v>
      </c>
      <c r="F25">
        <f t="shared" si="0"/>
        <v>21774000</v>
      </c>
      <c r="G25">
        <v>245</v>
      </c>
      <c r="H25" s="2">
        <v>3239</v>
      </c>
      <c r="I25">
        <f t="shared" si="1"/>
        <v>3239000</v>
      </c>
      <c r="J25">
        <f t="shared" si="2"/>
        <v>13.965</v>
      </c>
      <c r="K25">
        <f t="shared" si="3"/>
        <v>45232635</v>
      </c>
      <c r="M25" t="s">
        <v>65</v>
      </c>
    </row>
    <row r="26" spans="2:15" x14ac:dyDescent="0.2">
      <c r="B26" s="7">
        <v>2007</v>
      </c>
      <c r="C26" s="7" t="s">
        <v>42</v>
      </c>
      <c r="D26" s="7" t="s">
        <v>15</v>
      </c>
      <c r="E26" s="4">
        <v>272</v>
      </c>
      <c r="F26">
        <f t="shared" si="0"/>
        <v>15504000</v>
      </c>
      <c r="G26">
        <v>229</v>
      </c>
      <c r="H26" s="2">
        <v>1188</v>
      </c>
      <c r="I26">
        <f t="shared" si="1"/>
        <v>1188000</v>
      </c>
      <c r="J26">
        <f t="shared" si="2"/>
        <v>13.053000000000001</v>
      </c>
      <c r="K26">
        <f t="shared" si="3"/>
        <v>15506964.000000002</v>
      </c>
      <c r="M26" t="s">
        <v>64</v>
      </c>
    </row>
    <row r="27" spans="2:15" x14ac:dyDescent="0.2">
      <c r="B27" s="9">
        <v>2002</v>
      </c>
      <c r="C27" s="7" t="s">
        <v>42</v>
      </c>
      <c r="D27" s="7" t="s">
        <v>10</v>
      </c>
      <c r="E27" s="4">
        <v>0</v>
      </c>
      <c r="F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N27" s="6" t="s">
        <v>49</v>
      </c>
    </row>
    <row r="28" spans="2:15" x14ac:dyDescent="0.2">
      <c r="B28" s="7">
        <v>2002</v>
      </c>
      <c r="C28" s="7" t="s">
        <v>42</v>
      </c>
      <c r="D28" s="7" t="s">
        <v>11</v>
      </c>
      <c r="E28" s="4">
        <v>875</v>
      </c>
      <c r="F28">
        <f t="shared" si="0"/>
        <v>49875000</v>
      </c>
      <c r="G28">
        <v>279</v>
      </c>
      <c r="H28" s="2">
        <v>3301</v>
      </c>
      <c r="I28">
        <f t="shared" si="1"/>
        <v>3301000</v>
      </c>
      <c r="J28">
        <f t="shared" si="2"/>
        <v>15.903</v>
      </c>
      <c r="K28">
        <f t="shared" si="3"/>
        <v>52495803</v>
      </c>
      <c r="L28" s="40">
        <f>SUM(K28:K32)/SUM(I28:I32)</f>
        <v>15.456422773008924</v>
      </c>
      <c r="M28" t="s">
        <v>65</v>
      </c>
    </row>
    <row r="29" spans="2:15" x14ac:dyDescent="0.2">
      <c r="B29" s="7">
        <v>2002</v>
      </c>
      <c r="C29" s="7" t="s">
        <v>42</v>
      </c>
      <c r="D29" s="7" t="s">
        <v>12</v>
      </c>
      <c r="E29" s="4">
        <v>1100</v>
      </c>
      <c r="F29">
        <f t="shared" si="0"/>
        <v>62700000</v>
      </c>
      <c r="G29">
        <v>283</v>
      </c>
      <c r="H29" s="2">
        <v>3887</v>
      </c>
      <c r="I29">
        <f t="shared" si="1"/>
        <v>3887000</v>
      </c>
      <c r="J29">
        <f t="shared" si="2"/>
        <v>16.131</v>
      </c>
      <c r="K29">
        <f t="shared" si="3"/>
        <v>62701197</v>
      </c>
      <c r="M29" t="s">
        <v>64</v>
      </c>
    </row>
    <row r="30" spans="2:15" x14ac:dyDescent="0.2">
      <c r="B30" s="7">
        <v>2002</v>
      </c>
      <c r="C30" s="7" t="s">
        <v>42</v>
      </c>
      <c r="D30" s="7" t="s">
        <v>13</v>
      </c>
      <c r="E30" s="4">
        <v>6324</v>
      </c>
      <c r="F30">
        <f t="shared" si="0"/>
        <v>360468000</v>
      </c>
      <c r="G30">
        <v>276</v>
      </c>
      <c r="H30" s="2">
        <v>23641</v>
      </c>
      <c r="I30">
        <f t="shared" si="1"/>
        <v>23641000</v>
      </c>
      <c r="J30">
        <f t="shared" si="2"/>
        <v>15.731999999999999</v>
      </c>
      <c r="K30">
        <f t="shared" si="3"/>
        <v>371920212</v>
      </c>
      <c r="M30" t="s">
        <v>65</v>
      </c>
    </row>
    <row r="31" spans="2:15" x14ac:dyDescent="0.2">
      <c r="B31" s="7">
        <v>2002</v>
      </c>
      <c r="C31" s="7" t="s">
        <v>42</v>
      </c>
      <c r="D31" s="7" t="s">
        <v>14</v>
      </c>
      <c r="E31" s="4">
        <v>351</v>
      </c>
      <c r="F31">
        <f t="shared" si="0"/>
        <v>20007000</v>
      </c>
      <c r="G31">
        <v>234</v>
      </c>
      <c r="H31" s="2">
        <v>3134</v>
      </c>
      <c r="I31">
        <f t="shared" si="1"/>
        <v>3134000</v>
      </c>
      <c r="J31">
        <f t="shared" si="2"/>
        <v>13.337999999999999</v>
      </c>
      <c r="K31">
        <f t="shared" si="3"/>
        <v>41801292</v>
      </c>
      <c r="M31" t="s">
        <v>65</v>
      </c>
    </row>
    <row r="32" spans="2:15" x14ac:dyDescent="0.2">
      <c r="B32" s="7">
        <v>2002</v>
      </c>
      <c r="C32" s="7" t="s">
        <v>42</v>
      </c>
      <c r="D32" s="7" t="s">
        <v>15</v>
      </c>
      <c r="E32" s="4">
        <v>261</v>
      </c>
      <c r="F32">
        <f t="shared" si="0"/>
        <v>14877000</v>
      </c>
      <c r="G32">
        <v>214</v>
      </c>
      <c r="H32" s="2">
        <v>1219</v>
      </c>
      <c r="I32">
        <f t="shared" si="1"/>
        <v>1219000</v>
      </c>
      <c r="J32">
        <f t="shared" si="2"/>
        <v>12.198</v>
      </c>
      <c r="K32">
        <f t="shared" si="3"/>
        <v>14869362</v>
      </c>
      <c r="M32" t="s">
        <v>64</v>
      </c>
    </row>
    <row r="34" spans="1:13" x14ac:dyDescent="0.2">
      <c r="F34" s="42"/>
      <c r="G34" s="42"/>
      <c r="H34" s="42"/>
      <c r="I34" s="42"/>
      <c r="J34" s="42"/>
      <c r="K34" s="42"/>
    </row>
    <row r="35" spans="1:13" x14ac:dyDescent="0.2">
      <c r="A35" s="14" t="s">
        <v>39</v>
      </c>
      <c r="B35" t="s">
        <v>66</v>
      </c>
    </row>
    <row r="36" spans="1:13" x14ac:dyDescent="0.2">
      <c r="A36" s="15">
        <v>2002</v>
      </c>
      <c r="B36">
        <v>527706000</v>
      </c>
      <c r="F36" s="4"/>
      <c r="G36" s="4"/>
      <c r="H36" s="4"/>
      <c r="I36" s="4"/>
      <c r="J36" s="4"/>
      <c r="K36" s="4"/>
    </row>
    <row r="37" spans="1:13" x14ac:dyDescent="0.2">
      <c r="A37" s="15">
        <v>2007</v>
      </c>
      <c r="B37">
        <v>491454000</v>
      </c>
      <c r="M37" s="17">
        <f>512038000*2.2</f>
        <v>1126483600</v>
      </c>
    </row>
    <row r="38" spans="1:13" x14ac:dyDescent="0.2">
      <c r="A38" s="15">
        <v>2012</v>
      </c>
      <c r="B38">
        <v>536085000</v>
      </c>
      <c r="M38">
        <v>27000000000</v>
      </c>
    </row>
    <row r="39" spans="1:13" x14ac:dyDescent="0.2">
      <c r="A39" s="15">
        <v>2017</v>
      </c>
      <c r="B39">
        <v>634296000</v>
      </c>
    </row>
    <row r="40" spans="1:13" x14ac:dyDescent="0.2">
      <c r="A40" s="15">
        <v>2022</v>
      </c>
      <c r="B40">
        <v>622514100</v>
      </c>
      <c r="F40">
        <f>9381211*2</f>
        <v>18762422</v>
      </c>
    </row>
    <row r="41" spans="1:13" x14ac:dyDescent="0.2">
      <c r="A41" s="15" t="s">
        <v>40</v>
      </c>
      <c r="B41">
        <v>2812055100</v>
      </c>
    </row>
  </sheetData>
  <autoFilter ref="A2:N2" xr:uid="{ADB739EF-6F06-F84F-B406-8306ECD8720C}"/>
  <hyperlinks>
    <hyperlink ref="N3" r:id="rId2" xr:uid="{19E6EA89-E644-4D43-89CD-70FCA5451C18}"/>
    <hyperlink ref="N9" r:id="rId3" xr:uid="{99977885-0DB5-BB45-B5DE-DADFC6B7C3CA}"/>
    <hyperlink ref="N15" r:id="rId4" xr:uid="{87709968-6988-DA48-9C4B-3B980565F43B}"/>
    <hyperlink ref="N21" r:id="rId5" xr:uid="{F6F068D5-A93F-9A47-AA90-272D1AC76A63}"/>
    <hyperlink ref="N27" r:id="rId6" xr:uid="{73B2A633-1FEA-8345-A9FC-D50E5A8565EE}"/>
  </hyperlinks>
  <pageMargins left="0.7" right="0.7" top="0.75" bottom="0.75" header="0.3" footer="0.3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2EAE-22CA-D542-8623-569C40CF3F0B}">
  <dimension ref="A1:P71"/>
  <sheetViews>
    <sheetView zoomScale="120" workbookViewId="0">
      <selection activeCell="N8" sqref="N8"/>
    </sheetView>
  </sheetViews>
  <sheetFormatPr baseColWidth="10" defaultRowHeight="16" x14ac:dyDescent="0.2"/>
  <cols>
    <col min="1" max="1" width="27.6640625" bestFit="1" customWidth="1"/>
    <col min="2" max="3" width="12.1640625" bestFit="1" customWidth="1"/>
    <col min="4" max="4" width="15" style="5" bestFit="1" customWidth="1"/>
    <col min="5" max="5" width="12.33203125" style="5" bestFit="1" customWidth="1"/>
    <col min="6" max="7" width="12.33203125" bestFit="1" customWidth="1"/>
    <col min="8" max="8" width="12.33203125" style="23" bestFit="1" customWidth="1"/>
    <col min="9" max="9" width="12.6640625" style="27" bestFit="1" customWidth="1"/>
    <col min="10" max="10" width="11" style="4" bestFit="1" customWidth="1"/>
    <col min="11" max="11" width="16.6640625" style="31" bestFit="1" customWidth="1"/>
    <col min="12" max="12" width="14" style="4" customWidth="1"/>
  </cols>
  <sheetData>
    <row r="1" spans="1:16" x14ac:dyDescent="0.2">
      <c r="A1" s="7" t="s">
        <v>24</v>
      </c>
      <c r="B1" s="7" t="s">
        <v>16</v>
      </c>
      <c r="C1" s="7" t="s">
        <v>9</v>
      </c>
      <c r="D1" s="18" t="s">
        <v>18</v>
      </c>
      <c r="E1" s="18" t="s">
        <v>17</v>
      </c>
      <c r="F1" s="7" t="s">
        <v>23</v>
      </c>
      <c r="G1" s="7" t="s">
        <v>19</v>
      </c>
      <c r="H1" s="21" t="s">
        <v>20</v>
      </c>
      <c r="I1" s="26" t="s">
        <v>21</v>
      </c>
      <c r="J1" s="10" t="s">
        <v>22</v>
      </c>
      <c r="K1" s="30"/>
      <c r="L1" s="10" t="s">
        <v>62</v>
      </c>
      <c r="M1" s="7" t="s">
        <v>37</v>
      </c>
      <c r="N1" s="7" t="s">
        <v>38</v>
      </c>
      <c r="O1" s="7"/>
      <c r="P1" s="7"/>
    </row>
    <row r="2" spans="1:16" x14ac:dyDescent="0.2">
      <c r="A2" s="9">
        <v>2022</v>
      </c>
      <c r="B2" s="7" t="s">
        <v>0</v>
      </c>
      <c r="C2" s="7" t="s">
        <v>10</v>
      </c>
      <c r="D2" s="19">
        <v>14018000</v>
      </c>
      <c r="E2" s="20">
        <v>24.64</v>
      </c>
      <c r="F2" s="10">
        <f>D2/E2</f>
        <v>568912.3376623377</v>
      </c>
      <c r="G2" s="10">
        <f>F2*100</f>
        <v>56891233.766233772</v>
      </c>
      <c r="H2" s="22">
        <f>G2*0.453592</f>
        <v>25805408.506493509</v>
      </c>
      <c r="I2" s="24">
        <v>2507</v>
      </c>
      <c r="J2" s="12">
        <f>H2/I2</f>
        <v>10293.342044871762</v>
      </c>
      <c r="K2" s="12">
        <f>J2*I2</f>
        <v>25805408.506493509</v>
      </c>
      <c r="L2" s="12">
        <f>SUM(K2:K7)/SUM(I2:I7)</f>
        <v>10435.928414015088</v>
      </c>
      <c r="M2" s="6" t="s">
        <v>35</v>
      </c>
      <c r="N2" s="7" t="s">
        <v>32</v>
      </c>
      <c r="O2" s="7"/>
      <c r="P2" s="7"/>
    </row>
    <row r="3" spans="1:16" x14ac:dyDescent="0.2">
      <c r="A3" s="7">
        <v>2022</v>
      </c>
      <c r="B3" s="7" t="s">
        <v>0</v>
      </c>
      <c r="C3" s="7" t="s">
        <v>11</v>
      </c>
      <c r="D3" s="19">
        <v>209106000</v>
      </c>
      <c r="E3" s="20">
        <v>24.64</v>
      </c>
      <c r="F3" s="10">
        <f t="shared" ref="F3:F31" si="0">D3/E3</f>
        <v>8486444.8051948044</v>
      </c>
      <c r="G3" s="10">
        <f t="shared" ref="G3:G31" si="1">F3*100</f>
        <v>848644480.51948047</v>
      </c>
      <c r="H3" s="22">
        <f t="shared" ref="H3:H31" si="2">G3*0.453592</f>
        <v>384938347.20779216</v>
      </c>
      <c r="I3" s="24">
        <v>38290</v>
      </c>
      <c r="J3" s="12">
        <f t="shared" ref="J3:J31" si="3">H3/I3</f>
        <v>10053.234453063258</v>
      </c>
      <c r="K3" s="12">
        <f t="shared" ref="K3:K31" si="4">J3*I3</f>
        <v>384938347.20779216</v>
      </c>
      <c r="L3" s="12"/>
      <c r="M3" s="7" t="s">
        <v>35</v>
      </c>
      <c r="N3" s="7" t="s">
        <v>32</v>
      </c>
      <c r="O3" s="7"/>
      <c r="P3" s="7"/>
    </row>
    <row r="4" spans="1:16" x14ac:dyDescent="0.2">
      <c r="A4" s="7">
        <v>2022</v>
      </c>
      <c r="B4" s="7" t="s">
        <v>0</v>
      </c>
      <c r="C4" s="7" t="s">
        <v>12</v>
      </c>
      <c r="D4" s="19">
        <v>3873412000</v>
      </c>
      <c r="E4" s="20">
        <v>25.52</v>
      </c>
      <c r="F4" s="10">
        <f t="shared" si="0"/>
        <v>151779467.08463949</v>
      </c>
      <c r="G4" s="10">
        <f t="shared" si="1"/>
        <v>15177946708.463949</v>
      </c>
      <c r="H4" s="22">
        <f t="shared" si="2"/>
        <v>6884595203.3855791</v>
      </c>
      <c r="I4" s="24">
        <v>631199</v>
      </c>
      <c r="J4" s="12">
        <f t="shared" si="3"/>
        <v>10907.170644100481</v>
      </c>
      <c r="K4" s="12">
        <f t="shared" si="4"/>
        <v>6884595203.3855791</v>
      </c>
      <c r="L4" s="12"/>
      <c r="M4" s="7" t="s">
        <v>35</v>
      </c>
      <c r="N4" s="7" t="s">
        <v>32</v>
      </c>
      <c r="O4" s="7"/>
      <c r="P4" s="7"/>
    </row>
    <row r="5" spans="1:16" x14ac:dyDescent="0.2">
      <c r="A5" s="7">
        <v>2022</v>
      </c>
      <c r="B5" s="7" t="s">
        <v>0</v>
      </c>
      <c r="C5" s="7" t="s">
        <v>13</v>
      </c>
      <c r="D5" s="19">
        <v>2484319000</v>
      </c>
      <c r="E5" s="20">
        <v>25.08</v>
      </c>
      <c r="F5" s="10">
        <f t="shared" si="0"/>
        <v>99055781.499202564</v>
      </c>
      <c r="G5" s="10">
        <f t="shared" si="1"/>
        <v>9905578149.9202557</v>
      </c>
      <c r="H5" s="22">
        <f t="shared" si="2"/>
        <v>4493091004.1786289</v>
      </c>
      <c r="I5" s="26">
        <v>455651</v>
      </c>
      <c r="J5" s="10">
        <f t="shared" si="3"/>
        <v>9860.8167307404765</v>
      </c>
      <c r="K5" s="12">
        <f t="shared" si="4"/>
        <v>4493091004.1786289</v>
      </c>
      <c r="L5" s="12"/>
      <c r="M5" s="7" t="s">
        <v>35</v>
      </c>
      <c r="N5" s="7" t="s">
        <v>32</v>
      </c>
      <c r="O5" s="7"/>
      <c r="P5" s="7"/>
    </row>
    <row r="6" spans="1:16" x14ac:dyDescent="0.2">
      <c r="A6" s="7">
        <v>2022</v>
      </c>
      <c r="B6" s="7" t="s">
        <v>0</v>
      </c>
      <c r="C6" s="7" t="s">
        <v>14</v>
      </c>
      <c r="D6" s="19">
        <v>353750000</v>
      </c>
      <c r="E6" s="20">
        <v>24.64</v>
      </c>
      <c r="F6" s="10">
        <f t="shared" si="0"/>
        <v>14356737.012987012</v>
      </c>
      <c r="G6" s="10">
        <f t="shared" si="1"/>
        <v>1435673701.2987013</v>
      </c>
      <c r="H6" s="22">
        <f t="shared" si="2"/>
        <v>651210105.51948047</v>
      </c>
      <c r="I6" s="24">
        <v>63692</v>
      </c>
      <c r="J6" s="12">
        <f t="shared" si="3"/>
        <v>10224.362643965969</v>
      </c>
      <c r="K6" s="12">
        <f t="shared" si="4"/>
        <v>651210105.51948047</v>
      </c>
      <c r="L6" s="12"/>
      <c r="M6" s="7" t="s">
        <v>35</v>
      </c>
      <c r="N6" s="7" t="s">
        <v>32</v>
      </c>
      <c r="O6" s="7"/>
      <c r="P6" s="7"/>
    </row>
    <row r="7" spans="1:16" x14ac:dyDescent="0.2">
      <c r="A7" s="7">
        <v>2022</v>
      </c>
      <c r="B7" s="7" t="s">
        <v>0</v>
      </c>
      <c r="C7" s="7" t="s">
        <v>15</v>
      </c>
      <c r="D7" s="19">
        <v>20112000</v>
      </c>
      <c r="E7" s="20">
        <v>24.64</v>
      </c>
      <c r="F7" s="10">
        <f t="shared" si="0"/>
        <v>816233.76623376622</v>
      </c>
      <c r="G7" s="10">
        <f t="shared" si="1"/>
        <v>81623376.623376623</v>
      </c>
      <c r="H7" s="22">
        <f t="shared" si="2"/>
        <v>37023710.649350651</v>
      </c>
      <c r="I7" s="24">
        <v>4210</v>
      </c>
      <c r="J7" s="12">
        <f t="shared" si="3"/>
        <v>8794.2305580405355</v>
      </c>
      <c r="K7" s="12">
        <f t="shared" si="4"/>
        <v>37023710.649350651</v>
      </c>
      <c r="L7" s="12"/>
      <c r="M7" s="7" t="s">
        <v>35</v>
      </c>
      <c r="N7" s="7" t="s">
        <v>32</v>
      </c>
      <c r="O7" s="7"/>
      <c r="P7" s="7"/>
    </row>
    <row r="8" spans="1:16" x14ac:dyDescent="0.2">
      <c r="A8" s="9">
        <v>2017</v>
      </c>
      <c r="B8" s="7" t="s">
        <v>0</v>
      </c>
      <c r="C8" s="7" t="s">
        <v>10</v>
      </c>
      <c r="D8" s="19">
        <v>16754000</v>
      </c>
      <c r="E8" s="20">
        <v>17.32</v>
      </c>
      <c r="F8" s="10">
        <f t="shared" si="0"/>
        <v>967321.01616628177</v>
      </c>
      <c r="G8" s="10">
        <f t="shared" si="1"/>
        <v>96732101.61662817</v>
      </c>
      <c r="H8" s="22">
        <f t="shared" si="2"/>
        <v>43876907.436489604</v>
      </c>
      <c r="I8" s="24">
        <v>4560</v>
      </c>
      <c r="J8" s="12">
        <f t="shared" si="3"/>
        <v>9622.1288237915796</v>
      </c>
      <c r="K8" s="12">
        <f t="shared" si="4"/>
        <v>43876907.436489604</v>
      </c>
      <c r="L8" s="12">
        <f>SUM(K8:K13)/SUM(I8:I13)</f>
        <v>10065.146162152332</v>
      </c>
      <c r="M8" s="7" t="s">
        <v>26</v>
      </c>
      <c r="N8" s="6" t="s">
        <v>29</v>
      </c>
      <c r="O8" s="13"/>
      <c r="P8" s="13"/>
    </row>
    <row r="9" spans="1:16" x14ac:dyDescent="0.2">
      <c r="A9" s="7">
        <v>2017</v>
      </c>
      <c r="B9" s="7" t="s">
        <v>0</v>
      </c>
      <c r="C9" s="7" t="s">
        <v>11</v>
      </c>
      <c r="D9" s="19">
        <v>174468000</v>
      </c>
      <c r="E9" s="20">
        <v>17.32</v>
      </c>
      <c r="F9" s="10">
        <f t="shared" si="0"/>
        <v>10073210.161662817</v>
      </c>
      <c r="G9" s="10">
        <f t="shared" si="1"/>
        <v>1007321016.1662817</v>
      </c>
      <c r="H9" s="22">
        <f t="shared" si="2"/>
        <v>456912754.36489606</v>
      </c>
      <c r="I9" s="24">
        <v>48211</v>
      </c>
      <c r="J9" s="12">
        <f t="shared" si="3"/>
        <v>9477.354843602001</v>
      </c>
      <c r="K9" s="12">
        <f t="shared" si="4"/>
        <v>456912754.36489606</v>
      </c>
      <c r="L9" s="12"/>
      <c r="M9" s="7" t="s">
        <v>26</v>
      </c>
      <c r="N9" s="7" t="s">
        <v>29</v>
      </c>
      <c r="O9" s="7"/>
      <c r="P9" s="7"/>
    </row>
    <row r="10" spans="1:16" x14ac:dyDescent="0.2">
      <c r="A10" s="7">
        <v>2017</v>
      </c>
      <c r="B10" s="7" t="s">
        <v>0</v>
      </c>
      <c r="C10" s="7" t="s">
        <v>12</v>
      </c>
      <c r="D10" s="19">
        <v>2528282000</v>
      </c>
      <c r="E10" s="20">
        <v>17.47</v>
      </c>
      <c r="F10" s="10">
        <f t="shared" si="0"/>
        <v>144721350.88723528</v>
      </c>
      <c r="G10" s="10">
        <f t="shared" si="1"/>
        <v>14472135088.723528</v>
      </c>
      <c r="H10" s="22">
        <f t="shared" si="2"/>
        <v>6564444699.1642828</v>
      </c>
      <c r="I10" s="24">
        <v>628245</v>
      </c>
      <c r="J10" s="12">
        <f t="shared" si="3"/>
        <v>10448.861032183755</v>
      </c>
      <c r="K10" s="12">
        <f t="shared" si="4"/>
        <v>6564444699.1642828</v>
      </c>
      <c r="L10" s="12"/>
      <c r="M10" s="7" t="s">
        <v>26</v>
      </c>
      <c r="N10" s="7" t="s">
        <v>29</v>
      </c>
      <c r="O10" s="7"/>
      <c r="P10" s="7"/>
    </row>
    <row r="11" spans="1:16" x14ac:dyDescent="0.2">
      <c r="A11" s="7">
        <v>2017</v>
      </c>
      <c r="B11" s="7" t="s">
        <v>0</v>
      </c>
      <c r="C11" s="7" t="s">
        <v>13</v>
      </c>
      <c r="D11" s="19">
        <v>1979362000</v>
      </c>
      <c r="E11" s="20">
        <v>17.55</v>
      </c>
      <c r="F11" s="10">
        <f t="shared" si="0"/>
        <v>112784159.54415955</v>
      </c>
      <c r="G11" s="10">
        <f t="shared" si="1"/>
        <v>11278415954.415955</v>
      </c>
      <c r="H11" s="22">
        <f t="shared" si="2"/>
        <v>5115799249.5954418</v>
      </c>
      <c r="I11" s="26">
        <v>527617</v>
      </c>
      <c r="J11" s="10">
        <f t="shared" si="3"/>
        <v>9696.047037141414</v>
      </c>
      <c r="K11" s="12">
        <f t="shared" si="4"/>
        <v>5115799249.5954418</v>
      </c>
      <c r="L11" s="12"/>
      <c r="M11" s="7" t="s">
        <v>26</v>
      </c>
      <c r="N11" s="7" t="s">
        <v>29</v>
      </c>
      <c r="O11" s="7"/>
      <c r="P11" s="7"/>
    </row>
    <row r="12" spans="1:16" x14ac:dyDescent="0.2">
      <c r="A12" s="7">
        <v>2017</v>
      </c>
      <c r="B12" s="7" t="s">
        <v>0</v>
      </c>
      <c r="C12" s="7" t="s">
        <v>14</v>
      </c>
      <c r="D12" s="19">
        <v>334521000</v>
      </c>
      <c r="E12" s="20">
        <v>17.32</v>
      </c>
      <c r="F12" s="10">
        <f t="shared" si="0"/>
        <v>19314145.496535797</v>
      </c>
      <c r="G12" s="10">
        <f t="shared" si="1"/>
        <v>1931414549.6535797</v>
      </c>
      <c r="H12" s="22">
        <f t="shared" si="2"/>
        <v>876074188.40646648</v>
      </c>
      <c r="I12" s="24">
        <v>87322</v>
      </c>
      <c r="J12" s="12">
        <f t="shared" si="3"/>
        <v>10032.685788306115</v>
      </c>
      <c r="K12" s="12">
        <f t="shared" si="4"/>
        <v>876074188.4064666</v>
      </c>
      <c r="L12" s="12"/>
      <c r="M12" s="7" t="s">
        <v>26</v>
      </c>
      <c r="N12" s="7" t="s">
        <v>29</v>
      </c>
      <c r="O12" s="7"/>
      <c r="P12" s="7"/>
    </row>
    <row r="13" spans="1:16" x14ac:dyDescent="0.2">
      <c r="A13" s="7">
        <v>2017</v>
      </c>
      <c r="B13" s="7" t="s">
        <v>0</v>
      </c>
      <c r="C13" s="7" t="s">
        <v>15</v>
      </c>
      <c r="D13" s="19">
        <v>22819000</v>
      </c>
      <c r="E13" s="20">
        <v>17.32</v>
      </c>
      <c r="F13" s="10">
        <f t="shared" si="0"/>
        <v>1317494.2263279445</v>
      </c>
      <c r="G13" s="10">
        <f t="shared" si="1"/>
        <v>131749422.63279445</v>
      </c>
      <c r="H13" s="22">
        <f t="shared" si="2"/>
        <v>59760484.110854499</v>
      </c>
      <c r="I13" s="25">
        <v>7242</v>
      </c>
      <c r="J13" s="12">
        <f t="shared" si="3"/>
        <v>8251.9309736059786</v>
      </c>
      <c r="K13" s="12">
        <f t="shared" si="4"/>
        <v>59760484.110854499</v>
      </c>
      <c r="L13" s="12"/>
      <c r="M13" s="7" t="s">
        <v>26</v>
      </c>
      <c r="N13" s="7" t="s">
        <v>29</v>
      </c>
      <c r="O13" s="7"/>
      <c r="P13" s="7"/>
    </row>
    <row r="14" spans="1:16" x14ac:dyDescent="0.2">
      <c r="A14" s="9">
        <v>2012</v>
      </c>
      <c r="B14" s="7" t="s">
        <v>0</v>
      </c>
      <c r="C14" s="7" t="s">
        <v>10</v>
      </c>
      <c r="D14" s="19">
        <v>16593000</v>
      </c>
      <c r="E14" s="20">
        <v>18.63</v>
      </c>
      <c r="F14" s="10">
        <f t="shared" si="0"/>
        <v>890660.2254428342</v>
      </c>
      <c r="G14" s="10">
        <f t="shared" si="1"/>
        <v>89066022.54428342</v>
      </c>
      <c r="H14" s="22">
        <f t="shared" si="2"/>
        <v>40399635.297906607</v>
      </c>
      <c r="I14" s="24">
        <v>4512</v>
      </c>
      <c r="J14" s="12">
        <f t="shared" si="3"/>
        <v>8953.8198798551875</v>
      </c>
      <c r="K14" s="12">
        <f t="shared" si="4"/>
        <v>40399635.297906607</v>
      </c>
      <c r="L14" s="12">
        <f>SUM(K14:K19)/SUM(I14:I19)</f>
        <v>9243.9910180798379</v>
      </c>
      <c r="M14" s="7" t="s">
        <v>27</v>
      </c>
      <c r="N14" s="7" t="s">
        <v>31</v>
      </c>
      <c r="O14" s="7"/>
      <c r="P14" s="7"/>
    </row>
    <row r="15" spans="1:16" x14ac:dyDescent="0.2">
      <c r="A15" s="7">
        <v>2012</v>
      </c>
      <c r="B15" s="7" t="s">
        <v>0</v>
      </c>
      <c r="C15" s="7" t="s">
        <v>11</v>
      </c>
      <c r="D15" s="19">
        <v>187497000</v>
      </c>
      <c r="E15" s="20">
        <v>18.63</v>
      </c>
      <c r="F15" s="10">
        <f t="shared" si="0"/>
        <v>10064251.20772947</v>
      </c>
      <c r="G15" s="10">
        <f t="shared" si="1"/>
        <v>1006425120.772947</v>
      </c>
      <c r="H15" s="22">
        <f t="shared" si="2"/>
        <v>456506383.38164252</v>
      </c>
      <c r="I15" s="24">
        <v>50923</v>
      </c>
      <c r="J15" s="12">
        <f t="shared" si="3"/>
        <v>8964.6404057428372</v>
      </c>
      <c r="K15" s="12">
        <f t="shared" si="4"/>
        <v>456506383.38164252</v>
      </c>
      <c r="L15" s="12"/>
      <c r="M15" s="7" t="s">
        <v>27</v>
      </c>
      <c r="N15" s="7" t="s">
        <v>31</v>
      </c>
      <c r="O15" s="7"/>
      <c r="P15" s="7"/>
    </row>
    <row r="16" spans="1:16" x14ac:dyDescent="0.2">
      <c r="A16" s="7">
        <v>2012</v>
      </c>
      <c r="B16" s="7" t="s">
        <v>0</v>
      </c>
      <c r="C16" s="7" t="s">
        <v>12</v>
      </c>
      <c r="D16" s="19">
        <v>2417398000</v>
      </c>
      <c r="E16" s="20">
        <v>18.57</v>
      </c>
      <c r="F16" s="10">
        <f t="shared" si="0"/>
        <v>130177598.27679051</v>
      </c>
      <c r="G16" s="10">
        <f t="shared" si="1"/>
        <v>13017759827.679052</v>
      </c>
      <c r="H16" s="22">
        <f t="shared" si="2"/>
        <v>5904751715.7565966</v>
      </c>
      <c r="I16" s="24">
        <v>610712</v>
      </c>
      <c r="J16" s="12">
        <f t="shared" si="3"/>
        <v>9668.6354873599939</v>
      </c>
      <c r="K16" s="12">
        <f t="shared" si="4"/>
        <v>5904751715.7565966</v>
      </c>
      <c r="L16" s="12"/>
      <c r="M16" s="7" t="s">
        <v>27</v>
      </c>
      <c r="N16" s="7" t="s">
        <v>31</v>
      </c>
      <c r="O16" s="7"/>
      <c r="P16" s="7"/>
    </row>
    <row r="17" spans="1:16" x14ac:dyDescent="0.2">
      <c r="A17" s="7">
        <v>2012</v>
      </c>
      <c r="B17" s="7" t="s">
        <v>0</v>
      </c>
      <c r="C17" s="7" t="s">
        <v>13</v>
      </c>
      <c r="D17" s="19">
        <v>1966892000</v>
      </c>
      <c r="E17" s="20">
        <v>18.920000000000002</v>
      </c>
      <c r="F17" s="10">
        <f t="shared" si="0"/>
        <v>103958350.9513742</v>
      </c>
      <c r="G17" s="10">
        <f t="shared" si="1"/>
        <v>10395835095.137421</v>
      </c>
      <c r="H17" s="22">
        <f t="shared" si="2"/>
        <v>4715467632.4735727</v>
      </c>
      <c r="I17" s="26">
        <v>532335</v>
      </c>
      <c r="J17" s="10">
        <f t="shared" si="3"/>
        <v>8858.0830350692195</v>
      </c>
      <c r="K17" s="12">
        <f t="shared" si="4"/>
        <v>4715467632.4735727</v>
      </c>
      <c r="L17" s="12"/>
      <c r="M17" s="7" t="s">
        <v>27</v>
      </c>
      <c r="N17" s="7" t="s">
        <v>31</v>
      </c>
      <c r="O17" s="7"/>
      <c r="P17" s="7"/>
    </row>
    <row r="18" spans="1:16" x14ac:dyDescent="0.2">
      <c r="A18" s="7">
        <v>2012</v>
      </c>
      <c r="B18" s="7" t="s">
        <v>0</v>
      </c>
      <c r="C18" s="7" t="s">
        <v>14</v>
      </c>
      <c r="D18" s="19">
        <v>347204000</v>
      </c>
      <c r="E18" s="20">
        <v>18.63</v>
      </c>
      <c r="F18" s="10">
        <f t="shared" si="0"/>
        <v>18636822.329575952</v>
      </c>
      <c r="G18" s="10">
        <f t="shared" si="1"/>
        <v>1863682232.9575951</v>
      </c>
      <c r="H18" s="22">
        <f t="shared" si="2"/>
        <v>845351351.41170144</v>
      </c>
      <c r="I18" s="24">
        <v>94105</v>
      </c>
      <c r="J18" s="12">
        <f t="shared" si="3"/>
        <v>8983.0652081366716</v>
      </c>
      <c r="K18" s="12">
        <f t="shared" si="4"/>
        <v>845351351.41170144</v>
      </c>
      <c r="L18" s="12"/>
      <c r="M18" s="7" t="s">
        <v>27</v>
      </c>
      <c r="N18" s="7" t="s">
        <v>31</v>
      </c>
      <c r="O18" s="7"/>
      <c r="P18" s="7"/>
    </row>
    <row r="19" spans="1:16" x14ac:dyDescent="0.2">
      <c r="A19" s="7">
        <v>2012</v>
      </c>
      <c r="B19" s="7" t="s">
        <v>0</v>
      </c>
      <c r="C19" s="7" t="s">
        <v>15</v>
      </c>
      <c r="D19" s="19">
        <v>32654000</v>
      </c>
      <c r="E19" s="20">
        <v>18.63</v>
      </c>
      <c r="F19" s="10">
        <f t="shared" si="0"/>
        <v>1752764.3585614602</v>
      </c>
      <c r="G19" s="10">
        <f t="shared" si="1"/>
        <v>175276435.85614601</v>
      </c>
      <c r="H19" s="22">
        <f t="shared" si="2"/>
        <v>79503989.092860982</v>
      </c>
      <c r="I19" s="24">
        <v>10095</v>
      </c>
      <c r="J19" s="12">
        <f t="shared" si="3"/>
        <v>7875.5808908232766</v>
      </c>
      <c r="K19" s="12">
        <f t="shared" si="4"/>
        <v>79503989.092860982</v>
      </c>
      <c r="L19" s="12"/>
      <c r="M19" s="7" t="s">
        <v>27</v>
      </c>
      <c r="N19" s="7" t="s">
        <v>31</v>
      </c>
      <c r="O19" s="7"/>
      <c r="P19" s="7"/>
    </row>
    <row r="20" spans="1:16" x14ac:dyDescent="0.2">
      <c r="A20" s="9">
        <v>2007</v>
      </c>
      <c r="B20" s="7" t="s">
        <v>0</v>
      </c>
      <c r="C20" s="7" t="s">
        <v>10</v>
      </c>
      <c r="D20" s="19">
        <v>21715000</v>
      </c>
      <c r="E20" s="20">
        <v>19.02</v>
      </c>
      <c r="F20" s="10">
        <f t="shared" si="0"/>
        <v>1141692.9547844375</v>
      </c>
      <c r="G20" s="10">
        <f t="shared" si="1"/>
        <v>114169295.47844376</v>
      </c>
      <c r="H20" s="22">
        <f t="shared" si="2"/>
        <v>51786279.07465826</v>
      </c>
      <c r="I20" s="24">
        <v>6526</v>
      </c>
      <c r="J20" s="12">
        <f t="shared" si="3"/>
        <v>7935.3783442626818</v>
      </c>
      <c r="K20" s="12">
        <f t="shared" si="4"/>
        <v>51786279.07465826</v>
      </c>
      <c r="L20" s="12">
        <f>SUM(K20:K25)/SUM(I20:I25)</f>
        <v>8219.3690019685673</v>
      </c>
      <c r="M20" s="7" t="s">
        <v>33</v>
      </c>
      <c r="N20" s="7" t="s">
        <v>30</v>
      </c>
      <c r="O20" s="7"/>
      <c r="P20" s="7"/>
    </row>
    <row r="21" spans="1:16" x14ac:dyDescent="0.2">
      <c r="A21" s="7">
        <v>2007</v>
      </c>
      <c r="B21" s="7" t="s">
        <v>0</v>
      </c>
      <c r="C21" s="7" t="s">
        <v>11</v>
      </c>
      <c r="D21" s="19">
        <v>192426000</v>
      </c>
      <c r="E21" s="20">
        <v>19.02</v>
      </c>
      <c r="F21" s="10">
        <f t="shared" si="0"/>
        <v>10117034.700315457</v>
      </c>
      <c r="G21" s="10">
        <f t="shared" si="1"/>
        <v>1011703470.0315456</v>
      </c>
      <c r="H21" s="22">
        <f t="shared" si="2"/>
        <v>458900600.37854886</v>
      </c>
      <c r="I21" s="24">
        <v>57172</v>
      </c>
      <c r="J21" s="12">
        <f t="shared" si="3"/>
        <v>8026.6669065022888</v>
      </c>
      <c r="K21" s="12">
        <f t="shared" si="4"/>
        <v>458900600.37854886</v>
      </c>
      <c r="L21" s="12"/>
      <c r="M21" s="7" t="s">
        <v>33</v>
      </c>
      <c r="N21" s="7" t="s">
        <v>30</v>
      </c>
      <c r="O21" s="7"/>
      <c r="P21" s="7"/>
    </row>
    <row r="22" spans="1:16" x14ac:dyDescent="0.2">
      <c r="A22" s="7">
        <v>2007</v>
      </c>
      <c r="B22" s="7" t="s">
        <v>0</v>
      </c>
      <c r="C22" s="7" t="s">
        <v>12</v>
      </c>
      <c r="D22" s="19">
        <v>2280218000</v>
      </c>
      <c r="E22" s="20">
        <v>19.239999999999998</v>
      </c>
      <c r="F22" s="10">
        <f t="shared" si="0"/>
        <v>118514449.06444907</v>
      </c>
      <c r="G22" s="10">
        <f t="shared" si="1"/>
        <v>11851444906.444908</v>
      </c>
      <c r="H22" s="22">
        <f t="shared" si="2"/>
        <v>5375720598.004159</v>
      </c>
      <c r="I22" s="24">
        <v>626455</v>
      </c>
      <c r="J22" s="12">
        <f t="shared" si="3"/>
        <v>8581.1759791272452</v>
      </c>
      <c r="K22" s="12">
        <f t="shared" si="4"/>
        <v>5375720598.004158</v>
      </c>
      <c r="L22" s="12"/>
      <c r="M22" s="7" t="s">
        <v>33</v>
      </c>
      <c r="N22" s="7" t="s">
        <v>30</v>
      </c>
      <c r="O22" s="7"/>
      <c r="P22" s="7"/>
    </row>
    <row r="23" spans="1:16" x14ac:dyDescent="0.2">
      <c r="A23" s="7">
        <v>2007</v>
      </c>
      <c r="B23" s="7" t="s">
        <v>0</v>
      </c>
      <c r="C23" s="7" t="s">
        <v>13</v>
      </c>
      <c r="D23" s="19">
        <v>1890190000</v>
      </c>
      <c r="E23" s="20">
        <v>19.57</v>
      </c>
      <c r="F23" s="10">
        <f t="shared" si="0"/>
        <v>96586101.175268263</v>
      </c>
      <c r="G23" s="10">
        <f t="shared" si="1"/>
        <v>9658610117.5268269</v>
      </c>
      <c r="H23" s="22">
        <f t="shared" si="2"/>
        <v>4381068280.4292288</v>
      </c>
      <c r="I23" s="26">
        <v>553321</v>
      </c>
      <c r="J23" s="10">
        <f t="shared" si="3"/>
        <v>7917.7697582944238</v>
      </c>
      <c r="K23" s="12">
        <f t="shared" si="4"/>
        <v>4381068280.4292288</v>
      </c>
      <c r="L23" s="12"/>
      <c r="M23" s="7" t="s">
        <v>33</v>
      </c>
      <c r="N23" s="7" t="s">
        <v>30</v>
      </c>
      <c r="O23" s="7"/>
      <c r="P23" s="7"/>
    </row>
    <row r="24" spans="1:16" x14ac:dyDescent="0.2">
      <c r="A24" s="7">
        <v>2007</v>
      </c>
      <c r="B24" s="7" t="s">
        <v>0</v>
      </c>
      <c r="C24" s="7" t="s">
        <v>14</v>
      </c>
      <c r="D24" s="19">
        <v>330344000</v>
      </c>
      <c r="E24" s="20">
        <v>19.02</v>
      </c>
      <c r="F24" s="10">
        <f t="shared" si="0"/>
        <v>17368243.953732911</v>
      </c>
      <c r="G24" s="10">
        <f t="shared" si="1"/>
        <v>1736824395.3732913</v>
      </c>
      <c r="H24" s="22">
        <f t="shared" si="2"/>
        <v>787809651.14616191</v>
      </c>
      <c r="I24" s="24">
        <v>98917</v>
      </c>
      <c r="J24" s="12">
        <f t="shared" si="3"/>
        <v>7964.3504265814963</v>
      </c>
      <c r="K24" s="12">
        <f t="shared" si="4"/>
        <v>787809651.14616191</v>
      </c>
      <c r="L24" s="12"/>
      <c r="M24" s="7" t="s">
        <v>33</v>
      </c>
      <c r="N24" s="7" t="s">
        <v>30</v>
      </c>
      <c r="O24" s="7"/>
      <c r="P24" s="7"/>
    </row>
    <row r="25" spans="1:16" x14ac:dyDescent="0.2">
      <c r="A25" s="7">
        <v>2007</v>
      </c>
      <c r="B25" s="7" t="s">
        <v>0</v>
      </c>
      <c r="C25" s="7" t="s">
        <v>15</v>
      </c>
      <c r="D25" s="19">
        <v>31386000</v>
      </c>
      <c r="E25" s="20">
        <v>19.02</v>
      </c>
      <c r="F25" s="10">
        <f t="shared" si="0"/>
        <v>1650157.7287066246</v>
      </c>
      <c r="G25" s="10">
        <f t="shared" si="1"/>
        <v>165015772.87066245</v>
      </c>
      <c r="H25" s="22">
        <f t="shared" si="2"/>
        <v>74849834.447949529</v>
      </c>
      <c r="I25" s="24">
        <v>11744</v>
      </c>
      <c r="J25" s="12">
        <f t="shared" si="3"/>
        <v>6373.453205717773</v>
      </c>
      <c r="K25" s="12">
        <f t="shared" si="4"/>
        <v>74849834.447949529</v>
      </c>
      <c r="L25" s="12"/>
      <c r="M25" s="7" t="s">
        <v>33</v>
      </c>
      <c r="N25" s="7" t="s">
        <v>30</v>
      </c>
      <c r="O25" s="7"/>
      <c r="P25" s="7"/>
    </row>
    <row r="26" spans="1:16" x14ac:dyDescent="0.2">
      <c r="A26" s="9">
        <v>2002</v>
      </c>
      <c r="B26" s="7" t="s">
        <v>0</v>
      </c>
      <c r="C26" s="7" t="s">
        <v>10</v>
      </c>
      <c r="D26" s="19">
        <v>20651000</v>
      </c>
      <c r="E26" s="20">
        <v>11.89</v>
      </c>
      <c r="F26" s="10">
        <f t="shared" si="0"/>
        <v>1736837.6787216146</v>
      </c>
      <c r="G26" s="10">
        <f t="shared" si="1"/>
        <v>173683767.87216148</v>
      </c>
      <c r="H26" s="22">
        <f t="shared" si="2"/>
        <v>78781567.636669472</v>
      </c>
      <c r="I26" s="24">
        <v>8948</v>
      </c>
      <c r="J26" s="12">
        <f t="shared" si="3"/>
        <v>8804.3772504100889</v>
      </c>
      <c r="K26" s="30">
        <f t="shared" si="4"/>
        <v>78781567.636669472</v>
      </c>
      <c r="L26" s="12">
        <f>SUM(K26:K31)/SUM(I26:I31)</f>
        <v>8942.1953238894021</v>
      </c>
      <c r="M26" s="7" t="s">
        <v>34</v>
      </c>
      <c r="N26" s="7" t="s">
        <v>36</v>
      </c>
      <c r="O26" s="7"/>
      <c r="P26" s="7"/>
    </row>
    <row r="27" spans="1:16" x14ac:dyDescent="0.2">
      <c r="A27" s="7">
        <v>2002</v>
      </c>
      <c r="B27" s="7" t="s">
        <v>0</v>
      </c>
      <c r="C27" s="7" t="s">
        <v>11</v>
      </c>
      <c r="D27" s="19">
        <v>169458000</v>
      </c>
      <c r="E27" s="20">
        <v>11.89</v>
      </c>
      <c r="F27" s="10">
        <f t="shared" si="0"/>
        <v>14252144.659377627</v>
      </c>
      <c r="G27" s="10">
        <f t="shared" si="1"/>
        <v>1425214465.9377627</v>
      </c>
      <c r="H27" s="22">
        <f t="shared" si="2"/>
        <v>646465880.0336417</v>
      </c>
      <c r="I27" s="24">
        <v>72764</v>
      </c>
      <c r="J27" s="12">
        <f t="shared" si="3"/>
        <v>8884.4192187571007</v>
      </c>
      <c r="K27" s="30">
        <f t="shared" si="4"/>
        <v>646465880.0336417</v>
      </c>
      <c r="L27" s="12"/>
      <c r="M27" s="7" t="s">
        <v>34</v>
      </c>
      <c r="N27" s="7" t="s">
        <v>36</v>
      </c>
      <c r="O27" s="7"/>
      <c r="P27" s="7"/>
    </row>
    <row r="28" spans="1:16" x14ac:dyDescent="0.2">
      <c r="A28" s="7">
        <v>2002</v>
      </c>
      <c r="B28" s="7" t="s">
        <v>0</v>
      </c>
      <c r="C28" s="7" t="s">
        <v>12</v>
      </c>
      <c r="D28" s="19">
        <v>1560895000</v>
      </c>
      <c r="E28" s="20">
        <v>11.89</v>
      </c>
      <c r="F28" s="10">
        <f t="shared" si="0"/>
        <v>131277964.67619848</v>
      </c>
      <c r="G28" s="10">
        <f t="shared" si="1"/>
        <v>13127796467.619848</v>
      </c>
      <c r="H28" s="22">
        <f t="shared" si="2"/>
        <v>5954663455.3406219</v>
      </c>
      <c r="I28" s="24">
        <v>670003</v>
      </c>
      <c r="J28" s="12">
        <f t="shared" si="3"/>
        <v>8887.5176011758485</v>
      </c>
      <c r="K28" s="30">
        <f t="shared" si="4"/>
        <v>5954663455.3406219</v>
      </c>
      <c r="L28" s="12"/>
      <c r="M28" s="7" t="s">
        <v>34</v>
      </c>
      <c r="N28" s="7" t="s">
        <v>36</v>
      </c>
      <c r="O28" s="7"/>
      <c r="P28" s="7"/>
    </row>
    <row r="29" spans="1:16" x14ac:dyDescent="0.2">
      <c r="A29" s="7">
        <v>2002</v>
      </c>
      <c r="B29" s="7" t="s">
        <v>0</v>
      </c>
      <c r="C29" s="7" t="s">
        <v>13</v>
      </c>
      <c r="D29" s="19">
        <v>1393992000</v>
      </c>
      <c r="E29" s="20">
        <v>11.89</v>
      </c>
      <c r="F29" s="10">
        <f t="shared" si="0"/>
        <v>117240706.47603028</v>
      </c>
      <c r="G29" s="10">
        <f t="shared" si="1"/>
        <v>11724070647.603027</v>
      </c>
      <c r="H29" s="22">
        <f t="shared" si="2"/>
        <v>5317944653.1875525</v>
      </c>
      <c r="I29" s="26">
        <v>591531</v>
      </c>
      <c r="J29" s="10">
        <f t="shared" si="3"/>
        <v>8990.1368705740733</v>
      </c>
      <c r="K29" s="30">
        <f t="shared" si="4"/>
        <v>5317944653.1875525</v>
      </c>
      <c r="L29" s="12"/>
      <c r="M29" s="7" t="s">
        <v>34</v>
      </c>
      <c r="N29" s="7" t="s">
        <v>36</v>
      </c>
      <c r="O29" s="7"/>
      <c r="P29" s="7"/>
    </row>
    <row r="30" spans="1:16" x14ac:dyDescent="0.2">
      <c r="A30" s="7">
        <v>2002</v>
      </c>
      <c r="B30" s="7" t="s">
        <v>0</v>
      </c>
      <c r="C30" s="7" t="s">
        <v>14</v>
      </c>
      <c r="D30" s="19">
        <v>275402000</v>
      </c>
      <c r="E30" s="20">
        <v>11.89</v>
      </c>
      <c r="F30" s="10">
        <f t="shared" si="0"/>
        <v>23162489.486963835</v>
      </c>
      <c r="G30" s="10">
        <f t="shared" si="1"/>
        <v>2316248948.6963835</v>
      </c>
      <c r="H30" s="22">
        <f t="shared" si="2"/>
        <v>1050631993.13709</v>
      </c>
      <c r="I30" s="24">
        <v>114724</v>
      </c>
      <c r="J30" s="12">
        <f t="shared" si="3"/>
        <v>9157.9093575632814</v>
      </c>
      <c r="K30" s="30">
        <f t="shared" si="4"/>
        <v>1050631993.1370898</v>
      </c>
      <c r="L30" s="12"/>
      <c r="M30" s="7" t="s">
        <v>34</v>
      </c>
      <c r="N30" s="6" t="s">
        <v>36</v>
      </c>
      <c r="O30" s="13"/>
      <c r="P30" s="13"/>
    </row>
    <row r="31" spans="1:16" x14ac:dyDescent="0.2">
      <c r="A31" s="7">
        <v>2002</v>
      </c>
      <c r="B31" s="7" t="s">
        <v>0</v>
      </c>
      <c r="C31" s="7" t="s">
        <v>15</v>
      </c>
      <c r="D31" s="19">
        <v>32202000</v>
      </c>
      <c r="E31" s="20">
        <v>11.89</v>
      </c>
      <c r="F31" s="10">
        <f t="shared" si="0"/>
        <v>2708326.3246425567</v>
      </c>
      <c r="G31" s="10">
        <f t="shared" si="1"/>
        <v>270832632.46425569</v>
      </c>
      <c r="H31" s="22">
        <f t="shared" si="2"/>
        <v>122847515.42472667</v>
      </c>
      <c r="I31" s="24">
        <v>14972</v>
      </c>
      <c r="J31" s="12">
        <f t="shared" si="3"/>
        <v>8205.1506428484281</v>
      </c>
      <c r="K31" s="30">
        <f t="shared" si="4"/>
        <v>122847515.42472667</v>
      </c>
      <c r="L31" s="12"/>
      <c r="M31" s="7" t="s">
        <v>34</v>
      </c>
      <c r="N31" s="7" t="s">
        <v>36</v>
      </c>
      <c r="O31" s="7"/>
      <c r="P31" s="7"/>
    </row>
    <row r="34" spans="1:12" x14ac:dyDescent="0.2">
      <c r="A34" s="14" t="s">
        <v>61</v>
      </c>
      <c r="B34" s="14" t="s">
        <v>9</v>
      </c>
      <c r="D34"/>
      <c r="E34"/>
      <c r="H34"/>
      <c r="L34" s="4">
        <f>L2/L20</f>
        <v>1.2696751309639034</v>
      </c>
    </row>
    <row r="35" spans="1:12" x14ac:dyDescent="0.2">
      <c r="A35" s="14" t="s">
        <v>24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40</v>
      </c>
    </row>
    <row r="36" spans="1:12" x14ac:dyDescent="0.2">
      <c r="A36">
        <v>2002</v>
      </c>
      <c r="B36">
        <v>8804.3772504100889</v>
      </c>
      <c r="C36">
        <v>8884.4192187571007</v>
      </c>
      <c r="D36">
        <v>8887.5176011758485</v>
      </c>
      <c r="E36">
        <v>8990.1368705740733</v>
      </c>
      <c r="F36">
        <v>9157.9093575632814</v>
      </c>
      <c r="G36">
        <v>8205.1506428484281</v>
      </c>
      <c r="H36">
        <v>8821.5851568881353</v>
      </c>
    </row>
    <row r="37" spans="1:12" x14ac:dyDescent="0.2">
      <c r="A37">
        <v>2007</v>
      </c>
      <c r="B37">
        <v>7935.3783442626818</v>
      </c>
      <c r="C37">
        <v>8026.6669065022888</v>
      </c>
      <c r="D37">
        <v>8581.1759791272452</v>
      </c>
      <c r="E37">
        <v>7917.7697582944238</v>
      </c>
      <c r="F37">
        <v>7964.3504265814963</v>
      </c>
      <c r="G37">
        <v>6373.453205717773</v>
      </c>
      <c r="H37">
        <v>7799.7991034143188</v>
      </c>
    </row>
    <row r="38" spans="1:12" x14ac:dyDescent="0.2">
      <c r="A38">
        <v>2012</v>
      </c>
      <c r="B38">
        <v>8953.8198798551875</v>
      </c>
      <c r="C38">
        <v>8964.6404057428372</v>
      </c>
      <c r="D38">
        <v>9668.6354873599939</v>
      </c>
      <c r="E38">
        <v>8858.0830350692195</v>
      </c>
      <c r="F38">
        <v>8983.0652081366716</v>
      </c>
      <c r="G38">
        <v>7875.5808908232766</v>
      </c>
      <c r="H38">
        <v>8883.9708178311976</v>
      </c>
    </row>
    <row r="39" spans="1:12" x14ac:dyDescent="0.2">
      <c r="A39">
        <v>2017</v>
      </c>
      <c r="B39">
        <v>9622.1288237915796</v>
      </c>
      <c r="C39">
        <v>9477.354843602001</v>
      </c>
      <c r="D39">
        <v>10448.861032183755</v>
      </c>
      <c r="E39">
        <v>9696.047037141414</v>
      </c>
      <c r="F39">
        <v>10032.685788306115</v>
      </c>
      <c r="G39">
        <v>8251.9309736059786</v>
      </c>
      <c r="H39">
        <v>9588.1680831051399</v>
      </c>
    </row>
    <row r="40" spans="1:12" x14ac:dyDescent="0.2">
      <c r="A40">
        <v>2022</v>
      </c>
      <c r="B40">
        <v>10293.342044871762</v>
      </c>
      <c r="C40">
        <v>10053.234453063258</v>
      </c>
      <c r="D40">
        <v>10907.170644100481</v>
      </c>
      <c r="E40">
        <v>9860.8167307404765</v>
      </c>
      <c r="F40">
        <v>10224.362643965969</v>
      </c>
      <c r="G40">
        <v>8794.2305580405355</v>
      </c>
      <c r="H40">
        <v>10022.192845797081</v>
      </c>
    </row>
    <row r="41" spans="1:12" x14ac:dyDescent="0.2">
      <c r="A41" t="s">
        <v>40</v>
      </c>
      <c r="B41">
        <v>9121.8092686382588</v>
      </c>
      <c r="C41">
        <v>9081.2631655334953</v>
      </c>
      <c r="D41">
        <v>9698.6721487894647</v>
      </c>
      <c r="E41">
        <v>9064.5706863639207</v>
      </c>
      <c r="F41">
        <v>9272.4746849107069</v>
      </c>
      <c r="G41">
        <v>7900.0692542071993</v>
      </c>
      <c r="H41">
        <v>9023.1432014071743</v>
      </c>
    </row>
    <row r="42" spans="1:12" x14ac:dyDescent="0.2">
      <c r="D42"/>
      <c r="E42"/>
    </row>
    <row r="43" spans="1:12" x14ac:dyDescent="0.2">
      <c r="D43"/>
      <c r="E43"/>
    </row>
    <row r="44" spans="1:12" x14ac:dyDescent="0.2">
      <c r="D44"/>
      <c r="E44"/>
    </row>
    <row r="45" spans="1:12" x14ac:dyDescent="0.2">
      <c r="D45"/>
      <c r="E45"/>
    </row>
    <row r="46" spans="1:12" x14ac:dyDescent="0.2">
      <c r="D46"/>
      <c r="E46"/>
    </row>
    <row r="47" spans="1:12" x14ac:dyDescent="0.2">
      <c r="D47"/>
      <c r="E47"/>
    </row>
    <row r="48" spans="1:12" x14ac:dyDescent="0.2">
      <c r="D48"/>
      <c r="E48"/>
    </row>
    <row r="49" spans="4:5" x14ac:dyDescent="0.2">
      <c r="D49"/>
      <c r="E49"/>
    </row>
    <row r="50" spans="4:5" x14ac:dyDescent="0.2">
      <c r="D50"/>
      <c r="E50"/>
    </row>
    <row r="51" spans="4:5" x14ac:dyDescent="0.2">
      <c r="D51"/>
      <c r="E51"/>
    </row>
    <row r="52" spans="4:5" x14ac:dyDescent="0.2">
      <c r="D52"/>
      <c r="E52"/>
    </row>
    <row r="53" spans="4:5" x14ac:dyDescent="0.2">
      <c r="D53"/>
      <c r="E53"/>
    </row>
    <row r="54" spans="4:5" x14ac:dyDescent="0.2">
      <c r="D54"/>
      <c r="E54"/>
    </row>
    <row r="55" spans="4:5" x14ac:dyDescent="0.2">
      <c r="D55"/>
      <c r="E55"/>
    </row>
    <row r="56" spans="4:5" x14ac:dyDescent="0.2">
      <c r="D56"/>
      <c r="E56"/>
    </row>
    <row r="57" spans="4:5" x14ac:dyDescent="0.2">
      <c r="D57"/>
      <c r="E57"/>
    </row>
    <row r="58" spans="4:5" x14ac:dyDescent="0.2">
      <c r="D58"/>
      <c r="E58"/>
    </row>
    <row r="59" spans="4:5" x14ac:dyDescent="0.2">
      <c r="D59"/>
      <c r="E59"/>
    </row>
    <row r="60" spans="4:5" x14ac:dyDescent="0.2">
      <c r="D60"/>
      <c r="E60"/>
    </row>
    <row r="61" spans="4:5" x14ac:dyDescent="0.2">
      <c r="D61"/>
      <c r="E61"/>
    </row>
    <row r="62" spans="4:5" x14ac:dyDescent="0.2">
      <c r="D62"/>
      <c r="E62"/>
    </row>
    <row r="63" spans="4:5" x14ac:dyDescent="0.2">
      <c r="D63"/>
      <c r="E63"/>
    </row>
    <row r="64" spans="4:5" x14ac:dyDescent="0.2">
      <c r="D64"/>
      <c r="E64"/>
    </row>
    <row r="65" spans="4:5" x14ac:dyDescent="0.2">
      <c r="D65"/>
      <c r="E65"/>
    </row>
    <row r="66" spans="4:5" x14ac:dyDescent="0.2">
      <c r="D66"/>
      <c r="E66"/>
    </row>
    <row r="67" spans="4:5" x14ac:dyDescent="0.2">
      <c r="D67"/>
      <c r="E67"/>
    </row>
    <row r="68" spans="4:5" x14ac:dyDescent="0.2">
      <c r="D68"/>
      <c r="E68"/>
    </row>
    <row r="69" spans="4:5" x14ac:dyDescent="0.2">
      <c r="D69"/>
      <c r="E69"/>
    </row>
    <row r="70" spans="4:5" x14ac:dyDescent="0.2">
      <c r="D70"/>
      <c r="E70"/>
    </row>
    <row r="71" spans="4:5" x14ac:dyDescent="0.2">
      <c r="D71"/>
      <c r="E71"/>
    </row>
  </sheetData>
  <autoFilter ref="A1:P31" xr:uid="{D9DB2EAE-22CA-D542-8623-569C40CF3F0B}"/>
  <hyperlinks>
    <hyperlink ref="N8" r:id="rId2" xr:uid="{1480C74D-8C5D-8041-BC2C-D8AD065B676A}"/>
    <hyperlink ref="N30" r:id="rId3" xr:uid="{E0F911D3-79EB-1946-906E-A02F0F496DAA}"/>
    <hyperlink ref="M2" r:id="rId4" xr:uid="{4C6CF58F-A2CD-394F-AF51-570DE44BE64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1EDB-2944-A14D-93B7-80753673F0A4}">
  <dimension ref="A1:T43"/>
  <sheetViews>
    <sheetView topLeftCell="F19" zoomScale="136" workbookViewId="0">
      <selection activeCell="R28" sqref="R28"/>
    </sheetView>
  </sheetViews>
  <sheetFormatPr baseColWidth="10" defaultRowHeight="16" x14ac:dyDescent="0.2"/>
  <cols>
    <col min="1" max="1" width="13" bestFit="1" customWidth="1"/>
    <col min="2" max="2" width="10" customWidth="1"/>
    <col min="3" max="3" width="12" customWidth="1"/>
    <col min="4" max="4" width="11.6640625" bestFit="1" customWidth="1"/>
    <col min="5" max="11" width="15.6640625" customWidth="1"/>
    <col min="12" max="12" width="10.83203125" style="40"/>
    <col min="20" max="20" width="11.6640625" bestFit="1" customWidth="1"/>
  </cols>
  <sheetData>
    <row r="1" spans="2:18" x14ac:dyDescent="0.2">
      <c r="C1" t="s">
        <v>95</v>
      </c>
      <c r="D1">
        <v>1</v>
      </c>
      <c r="E1" t="s">
        <v>97</v>
      </c>
      <c r="F1" t="s">
        <v>96</v>
      </c>
      <c r="G1">
        <v>1</v>
      </c>
    </row>
    <row r="2" spans="2:18" x14ac:dyDescent="0.2">
      <c r="E2" s="62" t="s">
        <v>109</v>
      </c>
      <c r="F2" s="62"/>
      <c r="G2" s="62"/>
      <c r="H2" s="62"/>
      <c r="I2" s="62"/>
      <c r="J2" s="62"/>
      <c r="K2" s="41"/>
      <c r="L2" s="45"/>
      <c r="M2" s="62" t="s">
        <v>94</v>
      </c>
      <c r="N2" s="62"/>
      <c r="O2" s="62"/>
    </row>
    <row r="3" spans="2:18" x14ac:dyDescent="0.2">
      <c r="B3" s="7" t="s">
        <v>24</v>
      </c>
      <c r="C3" s="7" t="s">
        <v>16</v>
      </c>
      <c r="D3" s="7" t="s">
        <v>9</v>
      </c>
      <c r="E3" s="7" t="s">
        <v>69</v>
      </c>
      <c r="F3" s="7" t="s">
        <v>87</v>
      </c>
      <c r="G3" s="7" t="s">
        <v>86</v>
      </c>
      <c r="H3" s="7" t="s">
        <v>108</v>
      </c>
      <c r="I3" s="7" t="s">
        <v>107</v>
      </c>
      <c r="J3" t="s">
        <v>22</v>
      </c>
      <c r="M3" s="7" t="s">
        <v>69</v>
      </c>
      <c r="N3" s="7" t="s">
        <v>87</v>
      </c>
      <c r="O3" s="7" t="s">
        <v>86</v>
      </c>
      <c r="P3" s="7" t="s">
        <v>93</v>
      </c>
      <c r="Q3" s="7" t="s">
        <v>45</v>
      </c>
      <c r="R3" s="7" t="s">
        <v>25</v>
      </c>
    </row>
    <row r="4" spans="2:18" x14ac:dyDescent="0.2">
      <c r="B4" s="9">
        <v>2022</v>
      </c>
      <c r="C4" s="7" t="s">
        <v>1</v>
      </c>
      <c r="D4" s="7" t="s">
        <v>10</v>
      </c>
      <c r="E4">
        <v>49406</v>
      </c>
      <c r="F4">
        <f>E4*1000/2.20462</f>
        <v>22410211.283577219</v>
      </c>
      <c r="G4">
        <f>$D$1*F4</f>
        <v>22410211.283577219</v>
      </c>
      <c r="H4">
        <v>34.9</v>
      </c>
      <c r="I4">
        <f>H4*1000</f>
        <v>34900</v>
      </c>
      <c r="J4">
        <f>G4/I4</f>
        <v>642.12639781023552</v>
      </c>
      <c r="K4">
        <f>J4*I4</f>
        <v>22410211.283577219</v>
      </c>
      <c r="L4" s="40">
        <f>SUM(K4:K9)/SUM(I4:I9)</f>
        <v>567.23344701327107</v>
      </c>
      <c r="M4" s="36">
        <v>915</v>
      </c>
      <c r="N4">
        <f t="shared" ref="N4:N9" si="0">M4*1000/2.20462</f>
        <v>415037.51213361038</v>
      </c>
      <c r="O4">
        <f>N4*$G$1</f>
        <v>415037.51213361038</v>
      </c>
      <c r="P4">
        <f t="shared" ref="P4:P33" si="1">G4+O4</f>
        <v>22825248.795710828</v>
      </c>
      <c r="R4" s="6" t="s">
        <v>90</v>
      </c>
    </row>
    <row r="5" spans="2:18" x14ac:dyDescent="0.2">
      <c r="B5" s="7">
        <v>2022</v>
      </c>
      <c r="C5" s="7" t="s">
        <v>1</v>
      </c>
      <c r="D5" s="7" t="s">
        <v>11</v>
      </c>
      <c r="E5">
        <v>0</v>
      </c>
      <c r="F5">
        <f t="shared" ref="F5:F33" si="2">E5*1000/2.20462</f>
        <v>0</v>
      </c>
      <c r="G5">
        <f>$D$1*F5</f>
        <v>0</v>
      </c>
      <c r="H5">
        <v>0</v>
      </c>
      <c r="I5">
        <f t="shared" ref="I5:I33" si="3">H5*1000</f>
        <v>0</v>
      </c>
      <c r="J5">
        <v>0</v>
      </c>
      <c r="K5">
        <f t="shared" ref="K5:K33" si="4">J5*I5</f>
        <v>0</v>
      </c>
      <c r="M5">
        <v>0</v>
      </c>
      <c r="N5">
        <f t="shared" si="0"/>
        <v>0</v>
      </c>
      <c r="O5">
        <f t="shared" ref="O5:O33" si="5">N5*$G$1</f>
        <v>0</v>
      </c>
      <c r="P5">
        <f t="shared" si="1"/>
        <v>0</v>
      </c>
      <c r="Q5" s="7" t="s">
        <v>85</v>
      </c>
    </row>
    <row r="6" spans="2:18" x14ac:dyDescent="0.2">
      <c r="B6" s="7">
        <v>2022</v>
      </c>
      <c r="C6" s="7" t="s">
        <v>1</v>
      </c>
      <c r="D6" s="7" t="s">
        <v>12</v>
      </c>
      <c r="E6" s="11">
        <v>55325</v>
      </c>
      <c r="F6">
        <f t="shared" si="2"/>
        <v>25095027.714526769</v>
      </c>
      <c r="G6">
        <f t="shared" ref="G6:G33" si="6">$D$1*F6</f>
        <v>25095027.714526769</v>
      </c>
      <c r="H6">
        <v>45.7</v>
      </c>
      <c r="I6">
        <f t="shared" si="3"/>
        <v>45700</v>
      </c>
      <c r="J6">
        <f t="shared" ref="J6:J33" si="7">G6/I6</f>
        <v>549.12533292181115</v>
      </c>
      <c r="K6">
        <f t="shared" si="4"/>
        <v>25095027.714526769</v>
      </c>
      <c r="M6" s="2">
        <v>5348</v>
      </c>
      <c r="N6">
        <f t="shared" si="0"/>
        <v>2425814.8796618013</v>
      </c>
      <c r="O6">
        <f t="shared" si="5"/>
        <v>2425814.8796618013</v>
      </c>
      <c r="P6">
        <f t="shared" si="1"/>
        <v>27520842.594188571</v>
      </c>
    </row>
    <row r="7" spans="2:18" x14ac:dyDescent="0.2">
      <c r="B7" s="7">
        <v>2022</v>
      </c>
      <c r="C7" s="7" t="s">
        <v>1</v>
      </c>
      <c r="D7" s="7" t="s">
        <v>13</v>
      </c>
      <c r="E7" s="11">
        <v>1391485</v>
      </c>
      <c r="F7">
        <f t="shared" si="2"/>
        <v>631167729.58605123</v>
      </c>
      <c r="G7">
        <f t="shared" si="6"/>
        <v>631167729.58605123</v>
      </c>
      <c r="H7" s="11">
        <v>1111.0999999999999</v>
      </c>
      <c r="I7" s="40">
        <f t="shared" si="3"/>
        <v>1111100</v>
      </c>
      <c r="J7">
        <f t="shared" si="7"/>
        <v>568.05663719381801</v>
      </c>
      <c r="K7">
        <f t="shared" si="4"/>
        <v>631167729.58605123</v>
      </c>
      <c r="M7" s="2">
        <v>37419</v>
      </c>
      <c r="N7">
        <f t="shared" si="0"/>
        <v>16972993.078172203</v>
      </c>
      <c r="O7">
        <f t="shared" si="5"/>
        <v>16972993.078172203</v>
      </c>
      <c r="P7">
        <f t="shared" si="1"/>
        <v>648140722.66422343</v>
      </c>
    </row>
    <row r="8" spans="2:18" x14ac:dyDescent="0.2">
      <c r="B8" s="7">
        <v>2022</v>
      </c>
      <c r="C8" s="7" t="s">
        <v>1</v>
      </c>
      <c r="D8" s="7" t="s">
        <v>14</v>
      </c>
      <c r="E8" s="2">
        <v>24328</v>
      </c>
      <c r="F8">
        <f t="shared" si="2"/>
        <v>11035008.300750244</v>
      </c>
      <c r="G8">
        <f t="shared" si="6"/>
        <v>11035008.300750244</v>
      </c>
      <c r="H8">
        <v>22.5</v>
      </c>
      <c r="I8">
        <f t="shared" si="3"/>
        <v>22500</v>
      </c>
      <c r="J8">
        <f t="shared" si="7"/>
        <v>490.44481336667752</v>
      </c>
      <c r="K8">
        <f t="shared" si="4"/>
        <v>11035008.300750244</v>
      </c>
      <c r="M8">
        <v>558</v>
      </c>
      <c r="N8">
        <f t="shared" si="0"/>
        <v>253104.84346508697</v>
      </c>
      <c r="O8">
        <f t="shared" si="5"/>
        <v>253104.84346508697</v>
      </c>
      <c r="P8">
        <f t="shared" si="1"/>
        <v>11288113.14421533</v>
      </c>
    </row>
    <row r="9" spans="2:18" x14ac:dyDescent="0.2">
      <c r="B9" s="7">
        <v>2022</v>
      </c>
      <c r="C9" s="7" t="s">
        <v>1</v>
      </c>
      <c r="D9" s="7" t="s">
        <v>15</v>
      </c>
      <c r="E9" s="2">
        <v>15112</v>
      </c>
      <c r="F9">
        <f t="shared" si="2"/>
        <v>6854696.0473913876</v>
      </c>
      <c r="G9">
        <f t="shared" si="6"/>
        <v>6854696.0473913876</v>
      </c>
      <c r="H9">
        <v>13.8</v>
      </c>
      <c r="I9">
        <f t="shared" si="3"/>
        <v>13800</v>
      </c>
      <c r="J9">
        <f t="shared" si="7"/>
        <v>496.71710488343388</v>
      </c>
      <c r="K9">
        <f t="shared" si="4"/>
        <v>6854696.0473913876</v>
      </c>
      <c r="M9">
        <v>50</v>
      </c>
      <c r="N9">
        <f t="shared" si="0"/>
        <v>22679.645471781987</v>
      </c>
      <c r="O9">
        <f t="shared" si="5"/>
        <v>22679.645471781987</v>
      </c>
      <c r="P9">
        <f t="shared" si="1"/>
        <v>6877375.6928631701</v>
      </c>
    </row>
    <row r="10" spans="2:18" x14ac:dyDescent="0.2">
      <c r="B10" s="9">
        <v>2017</v>
      </c>
      <c r="C10" s="7" t="s">
        <v>1</v>
      </c>
      <c r="D10" s="7" t="s">
        <v>10</v>
      </c>
      <c r="E10" s="2">
        <v>51257</v>
      </c>
      <c r="F10">
        <f t="shared" si="2"/>
        <v>23249811.758942585</v>
      </c>
      <c r="G10">
        <f t="shared" si="6"/>
        <v>23249811.758942585</v>
      </c>
      <c r="H10" s="11">
        <v>38.5</v>
      </c>
      <c r="I10">
        <f t="shared" si="3"/>
        <v>38500</v>
      </c>
      <c r="J10">
        <f t="shared" si="7"/>
        <v>603.89121451798928</v>
      </c>
      <c r="K10">
        <f t="shared" si="4"/>
        <v>23249811.758942589</v>
      </c>
      <c r="L10" s="40">
        <f>SUM(K10:K15)/SUM(I10:I15)</f>
        <v>552.83556546054911</v>
      </c>
      <c r="M10" s="36">
        <v>915</v>
      </c>
      <c r="N10">
        <f t="shared" ref="N10:N33" si="8">M10*1000/2.20462</f>
        <v>415037.51213361038</v>
      </c>
      <c r="O10">
        <f t="shared" si="5"/>
        <v>415037.51213361038</v>
      </c>
      <c r="P10">
        <f t="shared" si="1"/>
        <v>23664849.271076195</v>
      </c>
      <c r="R10" s="6" t="s">
        <v>91</v>
      </c>
    </row>
    <row r="11" spans="2:18" x14ac:dyDescent="0.2">
      <c r="B11" s="7">
        <v>2017</v>
      </c>
      <c r="C11" s="7" t="s">
        <v>1</v>
      </c>
      <c r="D11" s="7" t="s">
        <v>11</v>
      </c>
      <c r="E11" s="2">
        <v>0</v>
      </c>
      <c r="F11">
        <f t="shared" si="2"/>
        <v>0</v>
      </c>
      <c r="G11">
        <f t="shared" si="6"/>
        <v>0</v>
      </c>
      <c r="H11">
        <v>0</v>
      </c>
      <c r="I11">
        <f t="shared" si="3"/>
        <v>0</v>
      </c>
      <c r="J11">
        <v>0</v>
      </c>
      <c r="K11">
        <f t="shared" si="4"/>
        <v>0</v>
      </c>
      <c r="M11">
        <v>0</v>
      </c>
      <c r="N11">
        <f t="shared" si="8"/>
        <v>0</v>
      </c>
      <c r="O11">
        <f t="shared" si="5"/>
        <v>0</v>
      </c>
      <c r="P11">
        <f t="shared" si="1"/>
        <v>0</v>
      </c>
    </row>
    <row r="12" spans="2:18" x14ac:dyDescent="0.2">
      <c r="B12" s="7">
        <v>2017</v>
      </c>
      <c r="C12" s="7" t="s">
        <v>1</v>
      </c>
      <c r="D12" s="7" t="s">
        <v>12</v>
      </c>
      <c r="E12" s="2">
        <v>44265</v>
      </c>
      <c r="F12">
        <f t="shared" si="2"/>
        <v>20078290.136168592</v>
      </c>
      <c r="G12">
        <f t="shared" si="6"/>
        <v>20078290.136168592</v>
      </c>
      <c r="H12">
        <v>37.1</v>
      </c>
      <c r="I12">
        <f t="shared" si="3"/>
        <v>37100</v>
      </c>
      <c r="J12">
        <f t="shared" si="7"/>
        <v>541.19380420939603</v>
      </c>
      <c r="K12">
        <f t="shared" si="4"/>
        <v>20078290.136168592</v>
      </c>
      <c r="M12" s="2">
        <v>7099</v>
      </c>
      <c r="N12">
        <f t="shared" si="8"/>
        <v>3220056.0640836065</v>
      </c>
      <c r="O12">
        <f t="shared" si="5"/>
        <v>3220056.0640836065</v>
      </c>
      <c r="P12">
        <f t="shared" si="1"/>
        <v>23298346.200252198</v>
      </c>
    </row>
    <row r="13" spans="2:18" x14ac:dyDescent="0.2">
      <c r="B13" s="7">
        <v>2017</v>
      </c>
      <c r="C13" s="7" t="s">
        <v>1</v>
      </c>
      <c r="D13" s="7" t="s">
        <v>13</v>
      </c>
      <c r="E13" s="2">
        <v>1235500</v>
      </c>
      <c r="F13">
        <f t="shared" si="2"/>
        <v>560414039.60773289</v>
      </c>
      <c r="G13">
        <f t="shared" si="6"/>
        <v>560414039.60773289</v>
      </c>
      <c r="H13" s="11">
        <v>1013.2</v>
      </c>
      <c r="I13" s="40">
        <f t="shared" si="3"/>
        <v>1013200</v>
      </c>
      <c r="J13">
        <f t="shared" si="7"/>
        <v>553.11294868508969</v>
      </c>
      <c r="K13">
        <f t="shared" si="4"/>
        <v>560414039.60773289</v>
      </c>
      <c r="M13" s="2">
        <v>42002</v>
      </c>
      <c r="N13">
        <f t="shared" si="8"/>
        <v>19051809.38211574</v>
      </c>
      <c r="O13">
        <f t="shared" si="5"/>
        <v>19051809.38211574</v>
      </c>
      <c r="P13">
        <f t="shared" si="1"/>
        <v>579465848.98984861</v>
      </c>
    </row>
    <row r="14" spans="2:18" x14ac:dyDescent="0.2">
      <c r="B14" s="7">
        <v>2017</v>
      </c>
      <c r="C14" s="7" t="s">
        <v>1</v>
      </c>
      <c r="D14" s="7" t="s">
        <v>14</v>
      </c>
      <c r="E14" s="2">
        <v>15605</v>
      </c>
      <c r="F14">
        <f t="shared" si="2"/>
        <v>7078317.351743158</v>
      </c>
      <c r="G14">
        <f t="shared" si="6"/>
        <v>7078317.351743158</v>
      </c>
      <c r="H14">
        <v>14.6</v>
      </c>
      <c r="I14">
        <f t="shared" si="3"/>
        <v>14600</v>
      </c>
      <c r="J14">
        <f t="shared" si="7"/>
        <v>484.81625696870947</v>
      </c>
      <c r="K14">
        <f t="shared" si="4"/>
        <v>7078317.351743158</v>
      </c>
      <c r="M14">
        <v>270</v>
      </c>
      <c r="N14">
        <f t="shared" si="8"/>
        <v>122470.08554762273</v>
      </c>
      <c r="O14">
        <f t="shared" si="5"/>
        <v>122470.08554762273</v>
      </c>
      <c r="P14">
        <f t="shared" si="1"/>
        <v>7200787.4372907802</v>
      </c>
    </row>
    <row r="15" spans="2:18" x14ac:dyDescent="0.2">
      <c r="B15" s="7">
        <v>2017</v>
      </c>
      <c r="C15" s="7" t="s">
        <v>1</v>
      </c>
      <c r="D15" s="7" t="s">
        <v>15</v>
      </c>
      <c r="E15" s="2">
        <v>9767</v>
      </c>
      <c r="F15">
        <f t="shared" si="2"/>
        <v>4430241.9464578936</v>
      </c>
      <c r="G15">
        <f t="shared" si="6"/>
        <v>4430241.9464578936</v>
      </c>
      <c r="H15">
        <v>9.5</v>
      </c>
      <c r="I15">
        <f t="shared" si="3"/>
        <v>9500</v>
      </c>
      <c r="J15">
        <f t="shared" si="7"/>
        <v>466.34125752188356</v>
      </c>
      <c r="K15">
        <f t="shared" si="4"/>
        <v>4430241.9464578936</v>
      </c>
      <c r="M15" s="36">
        <v>0</v>
      </c>
      <c r="N15">
        <f t="shared" si="8"/>
        <v>0</v>
      </c>
      <c r="O15">
        <f t="shared" si="5"/>
        <v>0</v>
      </c>
      <c r="P15">
        <f t="shared" si="1"/>
        <v>4430241.9464578936</v>
      </c>
    </row>
    <row r="16" spans="2:18" x14ac:dyDescent="0.2">
      <c r="B16" s="9">
        <v>2012</v>
      </c>
      <c r="C16" s="7" t="s">
        <v>1</v>
      </c>
      <c r="D16" s="7" t="s">
        <v>10</v>
      </c>
      <c r="E16" s="2">
        <v>43092</v>
      </c>
      <c r="F16">
        <f t="shared" si="2"/>
        <v>19546225.653400589</v>
      </c>
      <c r="G16">
        <f t="shared" si="6"/>
        <v>19546225.653400589</v>
      </c>
      <c r="H16">
        <v>33.1</v>
      </c>
      <c r="I16">
        <f t="shared" si="3"/>
        <v>33100</v>
      </c>
      <c r="J16">
        <f t="shared" si="7"/>
        <v>590.52041248944374</v>
      </c>
      <c r="K16">
        <f t="shared" si="4"/>
        <v>19546225.653400589</v>
      </c>
      <c r="L16" s="40">
        <f t="shared" ref="L16:L28" si="9">SUM(K16:K21)/SUM(I16:I21)</f>
        <v>538.51175090322874</v>
      </c>
      <c r="M16">
        <v>915</v>
      </c>
      <c r="N16">
        <f t="shared" si="8"/>
        <v>415037.51213361038</v>
      </c>
      <c r="O16">
        <f t="shared" si="5"/>
        <v>415037.51213361038</v>
      </c>
      <c r="P16">
        <f t="shared" si="1"/>
        <v>19961263.165534198</v>
      </c>
      <c r="R16" s="6" t="s">
        <v>92</v>
      </c>
    </row>
    <row r="17" spans="2:18" x14ac:dyDescent="0.2">
      <c r="B17" s="7">
        <v>2012</v>
      </c>
      <c r="C17" s="7" t="s">
        <v>1</v>
      </c>
      <c r="D17" s="7" t="s">
        <v>11</v>
      </c>
      <c r="E17" s="2">
        <v>0</v>
      </c>
      <c r="F17">
        <f t="shared" si="2"/>
        <v>0</v>
      </c>
      <c r="G17">
        <f t="shared" si="6"/>
        <v>0</v>
      </c>
      <c r="I17">
        <f t="shared" si="3"/>
        <v>0</v>
      </c>
      <c r="J17">
        <v>0</v>
      </c>
      <c r="K17">
        <f t="shared" si="4"/>
        <v>0</v>
      </c>
      <c r="M17">
        <v>0</v>
      </c>
      <c r="N17">
        <f t="shared" si="8"/>
        <v>0</v>
      </c>
      <c r="O17">
        <f t="shared" si="5"/>
        <v>0</v>
      </c>
      <c r="P17">
        <f t="shared" si="1"/>
        <v>0</v>
      </c>
    </row>
    <row r="18" spans="2:18" x14ac:dyDescent="0.2">
      <c r="B18" s="7">
        <v>2012</v>
      </c>
      <c r="C18" s="7" t="s">
        <v>1</v>
      </c>
      <c r="D18" s="7" t="s">
        <v>12</v>
      </c>
      <c r="E18" s="2">
        <v>33993</v>
      </c>
      <c r="F18">
        <f t="shared" si="2"/>
        <v>15418983.770445703</v>
      </c>
      <c r="G18">
        <f t="shared" si="6"/>
        <v>15418983.770445703</v>
      </c>
      <c r="H18">
        <v>30.2</v>
      </c>
      <c r="I18">
        <f t="shared" si="3"/>
        <v>30200</v>
      </c>
      <c r="J18">
        <f t="shared" si="7"/>
        <v>510.56237650482461</v>
      </c>
      <c r="K18">
        <f t="shared" si="4"/>
        <v>15418983.770445703</v>
      </c>
      <c r="M18" s="2">
        <v>11127</v>
      </c>
      <c r="N18">
        <f t="shared" si="8"/>
        <v>5047128.3032903634</v>
      </c>
      <c r="O18">
        <f t="shared" si="5"/>
        <v>5047128.3032903634</v>
      </c>
      <c r="P18">
        <f t="shared" si="1"/>
        <v>20466112.073736064</v>
      </c>
    </row>
    <row r="19" spans="2:18" x14ac:dyDescent="0.2">
      <c r="B19" s="7">
        <v>2012</v>
      </c>
      <c r="C19" s="7" t="s">
        <v>1</v>
      </c>
      <c r="D19" s="7" t="s">
        <v>13</v>
      </c>
      <c r="E19" s="2">
        <v>1165249</v>
      </c>
      <c r="F19">
        <f t="shared" si="2"/>
        <v>528548684.12696975</v>
      </c>
      <c r="G19">
        <f t="shared" si="6"/>
        <v>528548684.12696975</v>
      </c>
      <c r="H19">
        <v>980.2</v>
      </c>
      <c r="I19">
        <f t="shared" si="3"/>
        <v>980200</v>
      </c>
      <c r="J19">
        <f t="shared" si="7"/>
        <v>539.22534597732067</v>
      </c>
      <c r="K19">
        <f t="shared" si="4"/>
        <v>528548684.1269697</v>
      </c>
      <c r="M19" s="2">
        <v>49915</v>
      </c>
      <c r="N19">
        <f t="shared" si="8"/>
        <v>22641090.074479956</v>
      </c>
      <c r="O19">
        <f t="shared" si="5"/>
        <v>22641090.074479956</v>
      </c>
      <c r="P19">
        <f t="shared" si="1"/>
        <v>551189774.20144975</v>
      </c>
    </row>
    <row r="20" spans="2:18" x14ac:dyDescent="0.2">
      <c r="B20" s="7">
        <v>2012</v>
      </c>
      <c r="C20" s="7" t="s">
        <v>1</v>
      </c>
      <c r="D20" s="7" t="s">
        <v>14</v>
      </c>
      <c r="E20" s="2">
        <v>13262</v>
      </c>
      <c r="F20">
        <f t="shared" si="2"/>
        <v>6015549.1649354547</v>
      </c>
      <c r="G20">
        <f t="shared" si="6"/>
        <v>6015549.1649354547</v>
      </c>
      <c r="H20">
        <v>12.4</v>
      </c>
      <c r="I20">
        <f t="shared" si="3"/>
        <v>12400</v>
      </c>
      <c r="J20">
        <f t="shared" si="7"/>
        <v>485.12493265608504</v>
      </c>
      <c r="K20">
        <f t="shared" si="4"/>
        <v>6015549.1649354547</v>
      </c>
      <c r="M20">
        <v>110</v>
      </c>
      <c r="N20">
        <f t="shared" si="8"/>
        <v>49895.220037920371</v>
      </c>
      <c r="O20">
        <f t="shared" si="5"/>
        <v>49895.220037920371</v>
      </c>
      <c r="P20">
        <f t="shared" si="1"/>
        <v>6065444.3849733751</v>
      </c>
    </row>
    <row r="21" spans="2:18" x14ac:dyDescent="0.2">
      <c r="B21" s="7">
        <v>2012</v>
      </c>
      <c r="C21" s="7" t="s">
        <v>1</v>
      </c>
      <c r="D21" s="7" t="s">
        <v>15</v>
      </c>
      <c r="E21" s="2">
        <v>9499</v>
      </c>
      <c r="F21">
        <f t="shared" si="2"/>
        <v>4308679.0467291418</v>
      </c>
      <c r="G21">
        <f t="shared" si="6"/>
        <v>4308679.0467291418</v>
      </c>
      <c r="H21">
        <v>9.6999999999999993</v>
      </c>
      <c r="I21">
        <f t="shared" si="3"/>
        <v>9700</v>
      </c>
      <c r="J21">
        <f t="shared" si="7"/>
        <v>444.19371615764351</v>
      </c>
      <c r="K21">
        <f t="shared" si="4"/>
        <v>4308679.0467291418</v>
      </c>
      <c r="M21">
        <v>50</v>
      </c>
      <c r="N21">
        <f t="shared" si="8"/>
        <v>22679.645471781987</v>
      </c>
      <c r="O21">
        <f t="shared" si="5"/>
        <v>22679.645471781987</v>
      </c>
      <c r="P21">
        <f t="shared" si="1"/>
        <v>4331358.6922009243</v>
      </c>
    </row>
    <row r="22" spans="2:18" x14ac:dyDescent="0.2">
      <c r="B22" s="9">
        <v>2007</v>
      </c>
      <c r="C22" s="7" t="s">
        <v>1</v>
      </c>
      <c r="D22" s="7" t="s">
        <v>10</v>
      </c>
      <c r="E22" s="2">
        <v>55226</v>
      </c>
      <c r="F22">
        <f t="shared" si="2"/>
        <v>25050122.016492639</v>
      </c>
      <c r="G22">
        <f t="shared" si="6"/>
        <v>25050122.016492639</v>
      </c>
      <c r="H22">
        <v>41.9</v>
      </c>
      <c r="I22">
        <f t="shared" si="3"/>
        <v>41900</v>
      </c>
      <c r="J22">
        <f t="shared" si="7"/>
        <v>597.85494072774793</v>
      </c>
      <c r="K22">
        <f t="shared" si="4"/>
        <v>25050122.016492639</v>
      </c>
      <c r="L22" s="40">
        <f t="shared" si="9"/>
        <v>562.02514800648441</v>
      </c>
      <c r="M22">
        <v>572</v>
      </c>
      <c r="N22">
        <f t="shared" si="8"/>
        <v>259455.14419718593</v>
      </c>
      <c r="O22">
        <f t="shared" si="5"/>
        <v>259455.14419718593</v>
      </c>
      <c r="P22">
        <f t="shared" si="1"/>
        <v>25309577.160689823</v>
      </c>
      <c r="R22" s="6" t="s">
        <v>89</v>
      </c>
    </row>
    <row r="23" spans="2:18" x14ac:dyDescent="0.2">
      <c r="B23" s="7">
        <v>2007</v>
      </c>
      <c r="C23" s="7" t="s">
        <v>1</v>
      </c>
      <c r="D23" s="7" t="s">
        <v>11</v>
      </c>
      <c r="E23" s="2">
        <v>0</v>
      </c>
      <c r="F23">
        <f t="shared" si="2"/>
        <v>0</v>
      </c>
      <c r="G23">
        <f t="shared" si="6"/>
        <v>0</v>
      </c>
      <c r="I23">
        <f t="shared" si="3"/>
        <v>0</v>
      </c>
      <c r="J23">
        <v>0</v>
      </c>
      <c r="K23">
        <f t="shared" si="4"/>
        <v>0</v>
      </c>
      <c r="M23">
        <v>0</v>
      </c>
      <c r="N23">
        <f t="shared" si="8"/>
        <v>0</v>
      </c>
      <c r="O23">
        <f t="shared" si="5"/>
        <v>0</v>
      </c>
      <c r="P23">
        <f t="shared" si="1"/>
        <v>0</v>
      </c>
    </row>
    <row r="24" spans="2:18" x14ac:dyDescent="0.2">
      <c r="B24" s="7">
        <v>2007</v>
      </c>
      <c r="C24" s="7" t="s">
        <v>1</v>
      </c>
      <c r="D24" s="7" t="s">
        <v>12</v>
      </c>
      <c r="E24" s="2">
        <v>31136</v>
      </c>
      <c r="F24">
        <f t="shared" si="2"/>
        <v>14123068.828188078</v>
      </c>
      <c r="G24">
        <f t="shared" si="6"/>
        <v>14123068.828188078</v>
      </c>
      <c r="H24">
        <v>27.6</v>
      </c>
      <c r="I24">
        <f t="shared" si="3"/>
        <v>27600</v>
      </c>
      <c r="J24">
        <f t="shared" si="7"/>
        <v>511.705392325655</v>
      </c>
      <c r="K24">
        <f t="shared" si="4"/>
        <v>14123068.828188078</v>
      </c>
      <c r="M24" s="2">
        <v>18864</v>
      </c>
      <c r="N24">
        <f t="shared" si="8"/>
        <v>8556576.6435939074</v>
      </c>
      <c r="O24">
        <f t="shared" si="5"/>
        <v>8556576.6435939074</v>
      </c>
      <c r="P24">
        <f t="shared" si="1"/>
        <v>22679645.471781984</v>
      </c>
    </row>
    <row r="25" spans="2:18" x14ac:dyDescent="0.2">
      <c r="B25" s="7">
        <v>2007</v>
      </c>
      <c r="C25" s="7" t="s">
        <v>1</v>
      </c>
      <c r="D25" s="7" t="s">
        <v>13</v>
      </c>
      <c r="E25" s="2">
        <v>1176021</v>
      </c>
      <c r="F25">
        <f t="shared" si="2"/>
        <v>533434786.94741046</v>
      </c>
      <c r="G25">
        <f t="shared" si="6"/>
        <v>533434786.94741046</v>
      </c>
      <c r="H25">
        <v>945.6</v>
      </c>
      <c r="I25">
        <f t="shared" si="3"/>
        <v>945600</v>
      </c>
      <c r="J25">
        <f t="shared" si="7"/>
        <v>564.12308264320052</v>
      </c>
      <c r="K25">
        <f t="shared" si="4"/>
        <v>533434786.9474104</v>
      </c>
      <c r="M25" s="2">
        <v>67285</v>
      </c>
      <c r="N25">
        <f t="shared" si="8"/>
        <v>30519998.91137702</v>
      </c>
      <c r="O25">
        <f t="shared" si="5"/>
        <v>30519998.91137702</v>
      </c>
      <c r="P25">
        <f t="shared" si="1"/>
        <v>563954785.85878754</v>
      </c>
    </row>
    <row r="26" spans="2:18" x14ac:dyDescent="0.2">
      <c r="B26" s="7">
        <v>2007</v>
      </c>
      <c r="C26" s="7" t="s">
        <v>1</v>
      </c>
      <c r="D26" s="7" t="s">
        <v>14</v>
      </c>
      <c r="E26" s="2">
        <v>14940</v>
      </c>
      <c r="F26">
        <f t="shared" si="2"/>
        <v>6776678.0669684578</v>
      </c>
      <c r="G26">
        <f t="shared" si="6"/>
        <v>6776678.0669684578</v>
      </c>
      <c r="H26">
        <v>14.4</v>
      </c>
      <c r="I26">
        <f t="shared" si="3"/>
        <v>14400</v>
      </c>
      <c r="J26">
        <f t="shared" si="7"/>
        <v>470.60264353947622</v>
      </c>
      <c r="K26">
        <f t="shared" si="4"/>
        <v>6776678.0669684578</v>
      </c>
      <c r="M26">
        <v>259</v>
      </c>
      <c r="N26">
        <f t="shared" si="8"/>
        <v>117480.56354383069</v>
      </c>
      <c r="O26">
        <f t="shared" si="5"/>
        <v>117480.56354383069</v>
      </c>
      <c r="P26">
        <f t="shared" si="1"/>
        <v>6894158.6305122888</v>
      </c>
    </row>
    <row r="27" spans="2:18" x14ac:dyDescent="0.2">
      <c r="B27" s="7">
        <v>2007</v>
      </c>
      <c r="C27" s="7" t="s">
        <v>1</v>
      </c>
      <c r="D27" s="7" t="s">
        <v>15</v>
      </c>
      <c r="E27" s="2">
        <v>9928</v>
      </c>
      <c r="F27">
        <f t="shared" si="2"/>
        <v>4503270.4048770312</v>
      </c>
      <c r="G27">
        <f t="shared" si="6"/>
        <v>4503270.4048770312</v>
      </c>
      <c r="H27">
        <v>9.4</v>
      </c>
      <c r="I27">
        <f t="shared" si="3"/>
        <v>9400</v>
      </c>
      <c r="J27">
        <f t="shared" si="7"/>
        <v>479.07131966776927</v>
      </c>
      <c r="K27">
        <f t="shared" si="4"/>
        <v>4503270.4048770312</v>
      </c>
      <c r="M27" s="36">
        <v>0</v>
      </c>
      <c r="N27">
        <f t="shared" si="8"/>
        <v>0</v>
      </c>
      <c r="O27">
        <f t="shared" si="5"/>
        <v>0</v>
      </c>
      <c r="P27">
        <f t="shared" si="1"/>
        <v>4503270.4048770312</v>
      </c>
    </row>
    <row r="28" spans="2:18" x14ac:dyDescent="0.2">
      <c r="B28" s="9">
        <v>2002</v>
      </c>
      <c r="C28" s="7" t="s">
        <v>1</v>
      </c>
      <c r="D28" s="7" t="s">
        <v>10</v>
      </c>
      <c r="E28" s="2">
        <v>47030</v>
      </c>
      <c r="F28">
        <f t="shared" si="2"/>
        <v>21332474.530758139</v>
      </c>
      <c r="G28">
        <f t="shared" si="6"/>
        <v>21332474.530758139</v>
      </c>
      <c r="H28">
        <v>37.4</v>
      </c>
      <c r="I28">
        <f t="shared" si="3"/>
        <v>37400</v>
      </c>
      <c r="J28">
        <f t="shared" si="7"/>
        <v>570.38701953898772</v>
      </c>
      <c r="K28">
        <f t="shared" si="4"/>
        <v>21332474.530758139</v>
      </c>
      <c r="L28" s="40">
        <f t="shared" si="9"/>
        <v>572.25906068985967</v>
      </c>
      <c r="M28" s="2">
        <v>501</v>
      </c>
      <c r="N28">
        <f t="shared" si="8"/>
        <v>227250.04762725552</v>
      </c>
      <c r="O28">
        <f t="shared" si="5"/>
        <v>227250.04762725552</v>
      </c>
      <c r="P28">
        <f t="shared" si="1"/>
        <v>21559724.578385394</v>
      </c>
      <c r="R28" s="6" t="s">
        <v>88</v>
      </c>
    </row>
    <row r="29" spans="2:18" x14ac:dyDescent="0.2">
      <c r="B29" s="7">
        <v>2002</v>
      </c>
      <c r="C29" s="7" t="s">
        <v>1</v>
      </c>
      <c r="D29" s="7" t="s">
        <v>11</v>
      </c>
      <c r="E29" s="2">
        <v>0</v>
      </c>
      <c r="F29">
        <f t="shared" si="2"/>
        <v>0</v>
      </c>
      <c r="G29">
        <f t="shared" si="6"/>
        <v>0</v>
      </c>
      <c r="I29">
        <f t="shared" si="3"/>
        <v>0</v>
      </c>
      <c r="J29">
        <v>0</v>
      </c>
      <c r="K29">
        <f t="shared" si="4"/>
        <v>0</v>
      </c>
      <c r="M29">
        <v>0</v>
      </c>
      <c r="N29">
        <f t="shared" si="8"/>
        <v>0</v>
      </c>
      <c r="O29">
        <f t="shared" si="5"/>
        <v>0</v>
      </c>
      <c r="P29">
        <f t="shared" si="1"/>
        <v>0</v>
      </c>
    </row>
    <row r="30" spans="2:18" x14ac:dyDescent="0.2">
      <c r="B30" s="7">
        <v>2002</v>
      </c>
      <c r="C30" s="7" t="s">
        <v>1</v>
      </c>
      <c r="D30" s="7" t="s">
        <v>12</v>
      </c>
      <c r="E30" s="2">
        <v>56808</v>
      </c>
      <c r="F30">
        <f t="shared" si="2"/>
        <v>25767705.999219824</v>
      </c>
      <c r="G30">
        <f t="shared" si="6"/>
        <v>25767705.999219824</v>
      </c>
      <c r="H30">
        <v>51.6</v>
      </c>
      <c r="I30">
        <f t="shared" si="3"/>
        <v>51600</v>
      </c>
      <c r="J30">
        <f t="shared" si="7"/>
        <v>499.37414727170199</v>
      </c>
      <c r="K30">
        <f t="shared" si="4"/>
        <v>25767705.999219824</v>
      </c>
      <c r="M30" s="2">
        <v>16707</v>
      </c>
      <c r="N30">
        <f t="shared" si="8"/>
        <v>7578176.7379412334</v>
      </c>
      <c r="O30">
        <f t="shared" si="5"/>
        <v>7578176.7379412334</v>
      </c>
      <c r="P30">
        <f t="shared" si="1"/>
        <v>33345882.737161055</v>
      </c>
    </row>
    <row r="31" spans="2:18" x14ac:dyDescent="0.2">
      <c r="B31" s="7">
        <v>2002</v>
      </c>
      <c r="C31" s="7" t="s">
        <v>1</v>
      </c>
      <c r="D31" s="7" t="s">
        <v>13</v>
      </c>
      <c r="E31" s="2">
        <v>1328715</v>
      </c>
      <c r="F31">
        <f t="shared" si="2"/>
        <v>602695702.66077602</v>
      </c>
      <c r="G31">
        <f t="shared" si="6"/>
        <v>602695702.66077602</v>
      </c>
      <c r="H31" s="11">
        <v>1040.9000000000001</v>
      </c>
      <c r="I31">
        <f t="shared" si="3"/>
        <v>1040900.0000000001</v>
      </c>
      <c r="J31">
        <f t="shared" si="7"/>
        <v>579.01402887960035</v>
      </c>
      <c r="K31">
        <f t="shared" si="4"/>
        <v>602695702.66077602</v>
      </c>
      <c r="M31" s="2">
        <v>64874</v>
      </c>
      <c r="N31">
        <f t="shared" si="8"/>
        <v>29426386.406727694</v>
      </c>
      <c r="O31">
        <f t="shared" si="5"/>
        <v>29426386.406727694</v>
      </c>
      <c r="P31">
        <f t="shared" si="1"/>
        <v>632122089.06750369</v>
      </c>
    </row>
    <row r="32" spans="2:18" x14ac:dyDescent="0.2">
      <c r="B32" s="7">
        <v>2002</v>
      </c>
      <c r="C32" s="7" t="s">
        <v>1</v>
      </c>
      <c r="D32" s="7" t="s">
        <v>14</v>
      </c>
      <c r="E32" s="2">
        <v>12073</v>
      </c>
      <c r="F32">
        <f t="shared" si="2"/>
        <v>5476227.195616479</v>
      </c>
      <c r="G32">
        <f t="shared" si="6"/>
        <v>5476227.195616479</v>
      </c>
      <c r="H32">
        <v>12.3</v>
      </c>
      <c r="I32">
        <f t="shared" si="3"/>
        <v>12300</v>
      </c>
      <c r="J32">
        <f t="shared" si="7"/>
        <v>445.22172322085197</v>
      </c>
      <c r="K32">
        <f t="shared" si="4"/>
        <v>5476227.195616479</v>
      </c>
      <c r="M32" s="2">
        <v>84</v>
      </c>
      <c r="N32">
        <f t="shared" si="8"/>
        <v>38101.804392593738</v>
      </c>
      <c r="O32">
        <f t="shared" si="5"/>
        <v>38101.804392593738</v>
      </c>
      <c r="P32">
        <f t="shared" si="1"/>
        <v>5514329.0000090729</v>
      </c>
    </row>
    <row r="33" spans="1:20" x14ac:dyDescent="0.2">
      <c r="B33" s="7">
        <v>2002</v>
      </c>
      <c r="C33" s="7" t="s">
        <v>1</v>
      </c>
      <c r="D33" s="7" t="s">
        <v>15</v>
      </c>
      <c r="E33" s="2">
        <v>10267</v>
      </c>
      <c r="F33">
        <f t="shared" si="2"/>
        <v>4657038.4011757132</v>
      </c>
      <c r="G33">
        <f t="shared" si="6"/>
        <v>4657038.4011757132</v>
      </c>
      <c r="H33">
        <v>11</v>
      </c>
      <c r="I33">
        <f t="shared" si="3"/>
        <v>11000</v>
      </c>
      <c r="J33">
        <f t="shared" si="7"/>
        <v>423.36712737961028</v>
      </c>
      <c r="K33">
        <f t="shared" si="4"/>
        <v>4657038.4011757132</v>
      </c>
      <c r="M33" s="36">
        <v>0</v>
      </c>
      <c r="N33">
        <f t="shared" si="8"/>
        <v>0</v>
      </c>
      <c r="O33">
        <f t="shared" si="5"/>
        <v>0</v>
      </c>
      <c r="P33">
        <f t="shared" si="1"/>
        <v>4657038.4011757132</v>
      </c>
    </row>
    <row r="35" spans="1:20" x14ac:dyDescent="0.2">
      <c r="T35" s="11">
        <f>1013.2*1000</f>
        <v>1013200</v>
      </c>
    </row>
    <row r="36" spans="1:20" x14ac:dyDescent="0.2">
      <c r="T36">
        <f>G13/T35</f>
        <v>553.11294868508969</v>
      </c>
    </row>
    <row r="37" spans="1:20" x14ac:dyDescent="0.2">
      <c r="A37" s="14" t="s">
        <v>39</v>
      </c>
      <c r="B37" t="s">
        <v>98</v>
      </c>
      <c r="R37">
        <f>98.2*1000</f>
        <v>98200</v>
      </c>
    </row>
    <row r="38" spans="1:20" x14ac:dyDescent="0.2">
      <c r="A38" s="15">
        <v>2002</v>
      </c>
      <c r="B38">
        <v>697199063.784235</v>
      </c>
      <c r="R38">
        <f>N13/R37</f>
        <v>194.0102788402825</v>
      </c>
    </row>
    <row r="39" spans="1:20" x14ac:dyDescent="0.2">
      <c r="A39" s="15">
        <v>2007</v>
      </c>
      <c r="B39">
        <v>623341437.52664864</v>
      </c>
    </row>
    <row r="40" spans="1:20" x14ac:dyDescent="0.2">
      <c r="A40" s="15">
        <v>2012</v>
      </c>
      <c r="B40">
        <v>602013952.51789427</v>
      </c>
    </row>
    <row r="41" spans="1:20" x14ac:dyDescent="0.2">
      <c r="A41" s="15">
        <v>2017</v>
      </c>
      <c r="B41">
        <v>637645036.33279204</v>
      </c>
    </row>
    <row r="42" spans="1:20" x14ac:dyDescent="0.2">
      <c r="A42" s="15">
        <v>2022</v>
      </c>
      <c r="B42">
        <v>716237265.37906778</v>
      </c>
    </row>
    <row r="43" spans="1:20" x14ac:dyDescent="0.2">
      <c r="A43" s="15" t="s">
        <v>40</v>
      </c>
      <c r="B43">
        <v>3276436755.5406375</v>
      </c>
    </row>
  </sheetData>
  <autoFilter ref="B3:R33" xr:uid="{65131EDB-2944-A14D-93B7-80753673F0A4}"/>
  <mergeCells count="2">
    <mergeCell ref="M2:O2"/>
    <mergeCell ref="E2:J2"/>
  </mergeCells>
  <hyperlinks>
    <hyperlink ref="R10" r:id="rId2" xr:uid="{B7D0B736-7763-0D42-BE56-20C23220D14D}"/>
    <hyperlink ref="R4" r:id="rId3" xr:uid="{D9869C34-EDF0-D44E-9BC5-37BB606E7C4F}"/>
    <hyperlink ref="R16" r:id="rId4" xr:uid="{55427875-D7A3-CC4D-BDB2-22AD3BEAE6CC}"/>
    <hyperlink ref="R22" r:id="rId5" xr:uid="{3D2F4F8F-7C5B-7344-A3FC-11413F5C03AB}"/>
    <hyperlink ref="R28" r:id="rId6" xr:uid="{BED942DE-0051-BD4E-8B60-492BDCF80D52}"/>
  </hyperlinks>
  <pageMargins left="0.7" right="0.7" top="0.75" bottom="0.75" header="0.3" footer="0.3"/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CB97-713A-0F49-BC76-6D29C190C902}">
  <sheetPr>
    <tabColor rgb="FFC00000"/>
  </sheetPr>
  <dimension ref="A1:N42"/>
  <sheetViews>
    <sheetView workbookViewId="0">
      <selection activeCell="N4" sqref="N4"/>
    </sheetView>
  </sheetViews>
  <sheetFormatPr baseColWidth="10" defaultRowHeight="16" x14ac:dyDescent="0.2"/>
  <cols>
    <col min="1" max="1" width="13" bestFit="1" customWidth="1"/>
    <col min="2" max="2" width="25.83203125" bestFit="1" customWidth="1"/>
    <col min="10" max="10" width="11.5" bestFit="1" customWidth="1"/>
    <col min="11" max="12" width="11.5" customWidth="1"/>
  </cols>
  <sheetData>
    <row r="1" spans="2:14" x14ac:dyDescent="0.2">
      <c r="D1">
        <v>1</v>
      </c>
      <c r="F1">
        <f>250*D1</f>
        <v>250</v>
      </c>
    </row>
    <row r="3" spans="2:14" x14ac:dyDescent="0.2">
      <c r="B3" s="7" t="s">
        <v>24</v>
      </c>
      <c r="C3" s="7" t="s">
        <v>16</v>
      </c>
      <c r="D3" s="7" t="s">
        <v>9</v>
      </c>
      <c r="E3" s="7" t="s">
        <v>69</v>
      </c>
      <c r="F3" s="7" t="s">
        <v>87</v>
      </c>
      <c r="G3" s="7" t="s">
        <v>86</v>
      </c>
      <c r="H3" s="7" t="s">
        <v>101</v>
      </c>
      <c r="I3" s="7" t="s">
        <v>110</v>
      </c>
      <c r="J3" s="7" t="s">
        <v>22</v>
      </c>
      <c r="K3" s="7"/>
      <c r="L3" s="7"/>
      <c r="M3" s="7" t="s">
        <v>45</v>
      </c>
      <c r="N3" s="7" t="s">
        <v>25</v>
      </c>
    </row>
    <row r="4" spans="2:14" x14ac:dyDescent="0.2">
      <c r="B4" s="9">
        <v>2022</v>
      </c>
      <c r="C4" s="7" t="s">
        <v>99</v>
      </c>
      <c r="D4" s="7" t="s">
        <v>10</v>
      </c>
      <c r="E4" s="4">
        <v>5689</v>
      </c>
      <c r="F4" s="4">
        <f>E4*1000/2.20462</f>
        <v>2580490.0617793547</v>
      </c>
      <c r="G4" s="4">
        <f>$D$1*F4</f>
        <v>2580490.0617793547</v>
      </c>
      <c r="H4" s="4">
        <v>20.9</v>
      </c>
      <c r="I4" s="4">
        <f>H4*1000</f>
        <v>20900</v>
      </c>
      <c r="J4" s="39">
        <f t="shared" ref="J4:J28" si="0">G4/I4</f>
        <v>123.46842400858156</v>
      </c>
      <c r="K4" s="39">
        <f>J4*I4</f>
        <v>2580490.0617793547</v>
      </c>
      <c r="L4" s="39">
        <f>SUM(K4:K9)/SUM(I4:I9)</f>
        <v>127.80311777021024</v>
      </c>
      <c r="N4" s="6" t="s">
        <v>90</v>
      </c>
    </row>
    <row r="5" spans="2:14" x14ac:dyDescent="0.2">
      <c r="B5" s="7">
        <v>2022</v>
      </c>
      <c r="C5" s="7" t="s">
        <v>99</v>
      </c>
      <c r="D5" s="7" t="s">
        <v>11</v>
      </c>
      <c r="E5" s="4">
        <v>0</v>
      </c>
      <c r="F5" s="4">
        <f t="shared" ref="F5:F33" si="1">E5*1000/2.20462</f>
        <v>0</v>
      </c>
      <c r="G5" s="4">
        <f t="shared" ref="G5:G33" si="2">$D$1*F5</f>
        <v>0</v>
      </c>
      <c r="H5" s="4"/>
      <c r="I5" s="4">
        <f t="shared" ref="I5:I33" si="3">H5*1000</f>
        <v>0</v>
      </c>
      <c r="J5" s="39">
        <v>0</v>
      </c>
      <c r="K5" s="39">
        <f t="shared" ref="K5:K33" si="4">J5*I5</f>
        <v>0</v>
      </c>
      <c r="L5" s="39"/>
      <c r="M5" s="7" t="s">
        <v>85</v>
      </c>
    </row>
    <row r="6" spans="2:14" x14ac:dyDescent="0.2">
      <c r="B6" s="7">
        <v>2022</v>
      </c>
      <c r="C6" s="7" t="s">
        <v>99</v>
      </c>
      <c r="D6" s="7" t="s">
        <v>12</v>
      </c>
      <c r="E6" s="4">
        <v>7761</v>
      </c>
      <c r="F6" s="4">
        <f t="shared" si="1"/>
        <v>3520334.5701299999</v>
      </c>
      <c r="G6" s="4">
        <f t="shared" si="2"/>
        <v>3520334.5701299999</v>
      </c>
      <c r="H6" s="4">
        <v>31.3</v>
      </c>
      <c r="I6" s="4">
        <f t="shared" si="3"/>
        <v>31300</v>
      </c>
      <c r="J6" s="39">
        <f t="shared" si="0"/>
        <v>112.47075303929712</v>
      </c>
      <c r="K6" s="39">
        <f t="shared" si="4"/>
        <v>3520334.5701299999</v>
      </c>
      <c r="L6" s="39"/>
    </row>
    <row r="7" spans="2:14" x14ac:dyDescent="0.2">
      <c r="B7" s="7">
        <v>2022</v>
      </c>
      <c r="C7" s="7" t="s">
        <v>99</v>
      </c>
      <c r="D7" s="7" t="s">
        <v>13</v>
      </c>
      <c r="E7" s="4">
        <v>914255</v>
      </c>
      <c r="F7" s="4">
        <f t="shared" si="1"/>
        <v>414699585.41608083</v>
      </c>
      <c r="G7" s="4">
        <f t="shared" si="2"/>
        <v>414699585.41608083</v>
      </c>
      <c r="H7" s="4">
        <v>3240.8</v>
      </c>
      <c r="I7" s="4">
        <f t="shared" si="3"/>
        <v>3240800</v>
      </c>
      <c r="J7" s="39">
        <f t="shared" si="0"/>
        <v>127.96210362135301</v>
      </c>
      <c r="K7" s="39">
        <f t="shared" si="4"/>
        <v>414699585.41608083</v>
      </c>
      <c r="L7" s="39"/>
    </row>
    <row r="8" spans="2:14" x14ac:dyDescent="0.2">
      <c r="B8" s="7">
        <v>2022</v>
      </c>
      <c r="C8" s="7" t="s">
        <v>99</v>
      </c>
      <c r="D8" s="7" t="s">
        <v>14</v>
      </c>
      <c r="E8" s="38"/>
      <c r="F8" s="4">
        <f t="shared" si="1"/>
        <v>0</v>
      </c>
      <c r="G8" s="4">
        <f t="shared" si="2"/>
        <v>0</v>
      </c>
      <c r="H8" s="4">
        <v>0</v>
      </c>
      <c r="I8" s="4">
        <v>0</v>
      </c>
      <c r="J8" s="39">
        <v>0</v>
      </c>
      <c r="K8" s="39">
        <f t="shared" si="4"/>
        <v>0</v>
      </c>
      <c r="L8" s="39"/>
    </row>
    <row r="9" spans="2:14" x14ac:dyDescent="0.2">
      <c r="B9" s="7">
        <v>2022</v>
      </c>
      <c r="C9" s="7" t="s">
        <v>99</v>
      </c>
      <c r="D9" s="7" t="s">
        <v>15</v>
      </c>
      <c r="E9" s="4">
        <v>2235</v>
      </c>
      <c r="F9" s="4">
        <f t="shared" si="1"/>
        <v>1013780.1525886548</v>
      </c>
      <c r="G9" s="4">
        <f t="shared" si="2"/>
        <v>1013780.1525886548</v>
      </c>
      <c r="H9" s="4">
        <v>7.5</v>
      </c>
      <c r="I9" s="4">
        <f t="shared" si="3"/>
        <v>7500</v>
      </c>
      <c r="J9" s="39">
        <f t="shared" si="0"/>
        <v>135.17068701182063</v>
      </c>
      <c r="K9" s="39">
        <f t="shared" si="4"/>
        <v>1013780.1525886548</v>
      </c>
      <c r="L9" s="39"/>
    </row>
    <row r="10" spans="2:14" x14ac:dyDescent="0.2">
      <c r="B10" s="9">
        <v>2017</v>
      </c>
      <c r="C10" s="7" t="s">
        <v>99</v>
      </c>
      <c r="D10" s="7" t="s">
        <v>10</v>
      </c>
      <c r="E10" s="4">
        <v>5222</v>
      </c>
      <c r="F10" s="4">
        <f t="shared" si="1"/>
        <v>2368662.1730729109</v>
      </c>
      <c r="G10" s="4">
        <f t="shared" si="2"/>
        <v>2368662.1730729109</v>
      </c>
      <c r="H10" s="4">
        <v>20.2</v>
      </c>
      <c r="I10" s="4">
        <f t="shared" si="3"/>
        <v>20200</v>
      </c>
      <c r="J10" s="39">
        <f t="shared" si="0"/>
        <v>117.26050361747083</v>
      </c>
      <c r="K10" s="39">
        <f t="shared" si="4"/>
        <v>2368662.1730729109</v>
      </c>
      <c r="L10" s="39">
        <f t="shared" ref="L10:L28" si="5">SUM(K10:K15)/SUM(I10:I15)</f>
        <v>122.97568475998071</v>
      </c>
      <c r="N10" s="6" t="s">
        <v>91</v>
      </c>
    </row>
    <row r="11" spans="2:14" x14ac:dyDescent="0.2">
      <c r="B11" s="7">
        <v>2017</v>
      </c>
      <c r="C11" s="7" t="s">
        <v>99</v>
      </c>
      <c r="D11" s="7" t="s">
        <v>11</v>
      </c>
      <c r="E11" s="4">
        <v>0</v>
      </c>
      <c r="F11" s="4">
        <f t="shared" si="1"/>
        <v>0</v>
      </c>
      <c r="G11" s="4">
        <f t="shared" si="2"/>
        <v>0</v>
      </c>
      <c r="H11" s="4"/>
      <c r="I11" s="4">
        <f t="shared" si="3"/>
        <v>0</v>
      </c>
      <c r="J11" s="39">
        <v>0</v>
      </c>
      <c r="K11" s="39">
        <f t="shared" si="4"/>
        <v>0</v>
      </c>
      <c r="L11" s="39"/>
    </row>
    <row r="12" spans="2:14" x14ac:dyDescent="0.2">
      <c r="B12" s="7">
        <v>2017</v>
      </c>
      <c r="C12" s="7" t="s">
        <v>99</v>
      </c>
      <c r="D12" s="7" t="s">
        <v>12</v>
      </c>
      <c r="E12" s="4">
        <v>11770</v>
      </c>
      <c r="F12" s="4">
        <f t="shared" si="1"/>
        <v>5338788.5440574801</v>
      </c>
      <c r="G12" s="4">
        <f t="shared" si="2"/>
        <v>5338788.5440574801</v>
      </c>
      <c r="H12" s="4">
        <v>45.8</v>
      </c>
      <c r="I12" s="4">
        <f t="shared" si="3"/>
        <v>45800</v>
      </c>
      <c r="J12" s="39">
        <f t="shared" si="0"/>
        <v>116.56743545977031</v>
      </c>
      <c r="K12" s="39">
        <f t="shared" si="4"/>
        <v>5338788.5440574801</v>
      </c>
      <c r="L12" s="39"/>
    </row>
    <row r="13" spans="2:14" x14ac:dyDescent="0.2">
      <c r="B13" s="7">
        <v>2017</v>
      </c>
      <c r="C13" s="7" t="s">
        <v>99</v>
      </c>
      <c r="D13" s="7" t="s">
        <v>13</v>
      </c>
      <c r="E13" s="4">
        <v>949550</v>
      </c>
      <c r="F13" s="4">
        <f t="shared" si="1"/>
        <v>430709147.15461171</v>
      </c>
      <c r="G13" s="4">
        <f t="shared" si="2"/>
        <v>430709147.15461171</v>
      </c>
      <c r="H13" s="4">
        <v>3499.7</v>
      </c>
      <c r="I13" s="4">
        <f t="shared" si="3"/>
        <v>3499700</v>
      </c>
      <c r="J13" s="39">
        <f t="shared" si="0"/>
        <v>123.07030521319305</v>
      </c>
      <c r="K13" s="39">
        <f t="shared" si="4"/>
        <v>430709147.15461171</v>
      </c>
      <c r="L13" s="39"/>
    </row>
    <row r="14" spans="2:14" x14ac:dyDescent="0.2">
      <c r="B14" s="7">
        <v>2017</v>
      </c>
      <c r="C14" s="7" t="s">
        <v>99</v>
      </c>
      <c r="D14" s="7" t="s">
        <v>14</v>
      </c>
      <c r="E14" s="38"/>
      <c r="F14" s="4">
        <f t="shared" si="1"/>
        <v>0</v>
      </c>
      <c r="G14" s="4">
        <f t="shared" si="2"/>
        <v>0</v>
      </c>
      <c r="H14" s="4">
        <v>0</v>
      </c>
      <c r="I14" s="4">
        <f t="shared" si="3"/>
        <v>0</v>
      </c>
      <c r="J14" s="39">
        <v>0</v>
      </c>
      <c r="K14" s="39">
        <f t="shared" si="4"/>
        <v>0</v>
      </c>
      <c r="L14" s="39"/>
    </row>
    <row r="15" spans="2:14" x14ac:dyDescent="0.2">
      <c r="B15" s="7">
        <v>2017</v>
      </c>
      <c r="C15" s="7" t="s">
        <v>99</v>
      </c>
      <c r="D15" s="7" t="s">
        <v>15</v>
      </c>
      <c r="E15" s="4">
        <v>2720</v>
      </c>
      <c r="F15" s="4">
        <f t="shared" si="1"/>
        <v>1233772.7136649401</v>
      </c>
      <c r="G15" s="4">
        <f t="shared" si="2"/>
        <v>1233772.7136649401</v>
      </c>
      <c r="H15" s="4">
        <v>9.4</v>
      </c>
      <c r="I15" s="4">
        <f t="shared" si="3"/>
        <v>9400</v>
      </c>
      <c r="J15" s="39">
        <f t="shared" si="0"/>
        <v>131.25241634733405</v>
      </c>
      <c r="K15" s="39">
        <f t="shared" si="4"/>
        <v>1233772.7136649401</v>
      </c>
      <c r="L15" s="39"/>
    </row>
    <row r="16" spans="2:14" x14ac:dyDescent="0.2">
      <c r="B16" s="9">
        <v>2012</v>
      </c>
      <c r="C16" s="7" t="s">
        <v>99</v>
      </c>
      <c r="D16" s="7" t="s">
        <v>10</v>
      </c>
      <c r="E16" s="4">
        <v>4421</v>
      </c>
      <c r="F16" s="4">
        <f t="shared" si="1"/>
        <v>2005334.2526149633</v>
      </c>
      <c r="G16" s="4">
        <f t="shared" si="2"/>
        <v>2005334.2526149633</v>
      </c>
      <c r="H16" s="4">
        <v>18</v>
      </c>
      <c r="I16" s="4">
        <f t="shared" si="3"/>
        <v>18000</v>
      </c>
      <c r="J16" s="39">
        <f t="shared" si="0"/>
        <v>111.40745847860907</v>
      </c>
      <c r="K16" s="39">
        <f t="shared" si="4"/>
        <v>2005334.2526149633</v>
      </c>
      <c r="L16" s="39">
        <f t="shared" si="5"/>
        <v>120.18759157285187</v>
      </c>
      <c r="N16" t="s">
        <v>92</v>
      </c>
    </row>
    <row r="17" spans="2:14" x14ac:dyDescent="0.2">
      <c r="B17" s="7">
        <v>2012</v>
      </c>
      <c r="C17" s="7" t="s">
        <v>99</v>
      </c>
      <c r="D17" s="7" t="s">
        <v>11</v>
      </c>
      <c r="E17" s="4">
        <v>0</v>
      </c>
      <c r="F17" s="4">
        <f t="shared" si="1"/>
        <v>0</v>
      </c>
      <c r="G17" s="4">
        <f t="shared" si="2"/>
        <v>0</v>
      </c>
      <c r="H17" s="4"/>
      <c r="I17" s="4">
        <f t="shared" si="3"/>
        <v>0</v>
      </c>
      <c r="J17" s="39">
        <v>0</v>
      </c>
      <c r="K17" s="39">
        <f t="shared" si="4"/>
        <v>0</v>
      </c>
      <c r="L17" s="39"/>
    </row>
    <row r="18" spans="2:14" x14ac:dyDescent="0.2">
      <c r="B18" s="7">
        <v>2012</v>
      </c>
      <c r="C18" s="7" t="s">
        <v>99</v>
      </c>
      <c r="D18" s="7" t="s">
        <v>12</v>
      </c>
      <c r="E18" s="4">
        <v>7246</v>
      </c>
      <c r="F18" s="4">
        <f t="shared" si="1"/>
        <v>3286734.2217706456</v>
      </c>
      <c r="G18" s="4">
        <f t="shared" si="2"/>
        <v>3286734.2217706456</v>
      </c>
      <c r="H18" s="4">
        <v>35</v>
      </c>
      <c r="I18" s="4">
        <f t="shared" si="3"/>
        <v>35000</v>
      </c>
      <c r="J18" s="39">
        <f t="shared" si="0"/>
        <v>93.906692050589868</v>
      </c>
      <c r="K18" s="39">
        <f t="shared" si="4"/>
        <v>3286734.2217706456</v>
      </c>
      <c r="L18" s="39"/>
    </row>
    <row r="19" spans="2:14" x14ac:dyDescent="0.2">
      <c r="B19" s="7">
        <v>2012</v>
      </c>
      <c r="C19" s="7" t="s">
        <v>99</v>
      </c>
      <c r="D19" s="7" t="s">
        <v>13</v>
      </c>
      <c r="E19" s="4">
        <v>753523</v>
      </c>
      <c r="F19" s="4">
        <f t="shared" si="1"/>
        <v>341792689.89667159</v>
      </c>
      <c r="G19" s="4">
        <f t="shared" si="2"/>
        <v>341792689.89667159</v>
      </c>
      <c r="H19" s="4">
        <v>2896.4</v>
      </c>
      <c r="I19" s="4">
        <f t="shared" si="3"/>
        <v>2896400</v>
      </c>
      <c r="J19" s="39">
        <f t="shared" si="0"/>
        <v>118.00603849491493</v>
      </c>
      <c r="K19" s="39">
        <f t="shared" si="4"/>
        <v>341792689.89667159</v>
      </c>
      <c r="L19" s="39"/>
    </row>
    <row r="20" spans="2:14" x14ac:dyDescent="0.2">
      <c r="B20" s="7">
        <v>2012</v>
      </c>
      <c r="C20" s="7" t="s">
        <v>99</v>
      </c>
      <c r="D20" s="7" t="s">
        <v>14</v>
      </c>
      <c r="E20" s="4">
        <v>676192</v>
      </c>
      <c r="F20" s="4">
        <f t="shared" si="1"/>
        <v>306715896.61710411</v>
      </c>
      <c r="G20" s="4">
        <f t="shared" si="2"/>
        <v>306715896.61710411</v>
      </c>
      <c r="H20" s="4">
        <v>2490.1999999999998</v>
      </c>
      <c r="I20" s="4">
        <f t="shared" si="3"/>
        <v>2490200</v>
      </c>
      <c r="J20" s="39">
        <f t="shared" si="0"/>
        <v>123.16918183965309</v>
      </c>
      <c r="K20" s="39">
        <f t="shared" si="4"/>
        <v>306715896.61710411</v>
      </c>
      <c r="L20" s="39"/>
    </row>
    <row r="21" spans="2:14" x14ac:dyDescent="0.2">
      <c r="B21" s="7">
        <v>2012</v>
      </c>
      <c r="C21" s="7" t="s">
        <v>99</v>
      </c>
      <c r="D21" s="7" t="s">
        <v>15</v>
      </c>
      <c r="E21" s="4">
        <v>2084</v>
      </c>
      <c r="F21" s="4">
        <f t="shared" si="1"/>
        <v>945287.62326387328</v>
      </c>
      <c r="G21" s="4">
        <f t="shared" si="2"/>
        <v>945287.62326387328</v>
      </c>
      <c r="H21" s="4">
        <v>8.1</v>
      </c>
      <c r="I21" s="4">
        <f t="shared" si="3"/>
        <v>8100</v>
      </c>
      <c r="J21" s="39">
        <f t="shared" si="0"/>
        <v>116.70217571158929</v>
      </c>
      <c r="K21" s="39">
        <f t="shared" si="4"/>
        <v>945287.62326387328</v>
      </c>
      <c r="L21" s="39"/>
    </row>
    <row r="22" spans="2:14" x14ac:dyDescent="0.2">
      <c r="B22" s="9">
        <v>2007</v>
      </c>
      <c r="C22" s="7" t="s">
        <v>99</v>
      </c>
      <c r="D22" s="7" t="s">
        <v>10</v>
      </c>
      <c r="E22" s="4">
        <v>4352</v>
      </c>
      <c r="F22" s="4">
        <f t="shared" si="1"/>
        <v>1974036.3418639041</v>
      </c>
      <c r="G22" s="4">
        <f t="shared" si="2"/>
        <v>1974036.3418639041</v>
      </c>
      <c r="H22" s="4">
        <v>17.8</v>
      </c>
      <c r="I22" s="4">
        <f t="shared" si="3"/>
        <v>17800</v>
      </c>
      <c r="J22" s="39">
        <f t="shared" si="0"/>
        <v>110.9009180822418</v>
      </c>
      <c r="K22" s="39">
        <f t="shared" si="4"/>
        <v>1974036.3418639041</v>
      </c>
      <c r="L22" s="39">
        <f t="shared" si="5"/>
        <v>115.95544380944463</v>
      </c>
      <c r="N22" t="s">
        <v>89</v>
      </c>
    </row>
    <row r="23" spans="2:14" x14ac:dyDescent="0.2">
      <c r="B23" s="7">
        <v>2007</v>
      </c>
      <c r="C23" s="7" t="s">
        <v>99</v>
      </c>
      <c r="D23" s="7" t="s">
        <v>11</v>
      </c>
      <c r="E23" s="4">
        <v>0</v>
      </c>
      <c r="F23" s="4">
        <f t="shared" si="1"/>
        <v>0</v>
      </c>
      <c r="G23" s="4">
        <f t="shared" si="2"/>
        <v>0</v>
      </c>
      <c r="H23" s="4"/>
      <c r="I23" s="4">
        <f t="shared" si="3"/>
        <v>0</v>
      </c>
      <c r="J23" s="39">
        <v>0</v>
      </c>
      <c r="K23" s="39">
        <f t="shared" si="4"/>
        <v>0</v>
      </c>
      <c r="L23" s="39"/>
    </row>
    <row r="24" spans="2:14" x14ac:dyDescent="0.2">
      <c r="B24" s="7">
        <v>2007</v>
      </c>
      <c r="C24" s="7" t="s">
        <v>99</v>
      </c>
      <c r="D24" s="7" t="s">
        <v>12</v>
      </c>
      <c r="E24" s="4">
        <v>5390</v>
      </c>
      <c r="F24" s="4">
        <f t="shared" si="1"/>
        <v>2444865.7818580982</v>
      </c>
      <c r="G24" s="4">
        <f t="shared" si="2"/>
        <v>2444865.7818580982</v>
      </c>
      <c r="H24" s="4">
        <v>30.9</v>
      </c>
      <c r="I24" s="4">
        <f t="shared" si="3"/>
        <v>30900</v>
      </c>
      <c r="J24" s="39">
        <f t="shared" si="0"/>
        <v>79.121869963045256</v>
      </c>
      <c r="K24" s="39">
        <f t="shared" si="4"/>
        <v>2444865.7818580982</v>
      </c>
      <c r="L24" s="39"/>
    </row>
    <row r="25" spans="2:14" x14ac:dyDescent="0.2">
      <c r="B25" s="7">
        <v>2007</v>
      </c>
      <c r="C25" s="7" t="s">
        <v>99</v>
      </c>
      <c r="D25" s="7" t="s">
        <v>13</v>
      </c>
      <c r="E25" s="4">
        <v>746889</v>
      </c>
      <c r="F25" s="4">
        <f t="shared" si="1"/>
        <v>338783554.53547555</v>
      </c>
      <c r="G25" s="4">
        <f t="shared" si="2"/>
        <v>338783554.53547555</v>
      </c>
      <c r="H25" s="4">
        <v>2956.9</v>
      </c>
      <c r="I25" s="4">
        <f t="shared" si="3"/>
        <v>2956900</v>
      </c>
      <c r="J25" s="39">
        <f t="shared" si="0"/>
        <v>114.57389649141857</v>
      </c>
      <c r="K25" s="39">
        <f t="shared" si="4"/>
        <v>338783554.53547555</v>
      </c>
      <c r="L25" s="39"/>
    </row>
    <row r="26" spans="2:14" x14ac:dyDescent="0.2">
      <c r="B26" s="7">
        <v>2007</v>
      </c>
      <c r="C26" s="7" t="s">
        <v>99</v>
      </c>
      <c r="D26" s="7" t="s">
        <v>14</v>
      </c>
      <c r="E26" s="4">
        <v>624870</v>
      </c>
      <c r="F26" s="4">
        <f t="shared" si="1"/>
        <v>283436601.31904823</v>
      </c>
      <c r="G26" s="4">
        <f t="shared" si="2"/>
        <v>283436601.31904823</v>
      </c>
      <c r="H26" s="4">
        <v>2398.5</v>
      </c>
      <c r="I26" s="4">
        <f t="shared" si="3"/>
        <v>2398500</v>
      </c>
      <c r="J26" s="39">
        <f t="shared" si="0"/>
        <v>118.17244165897363</v>
      </c>
      <c r="K26" s="39">
        <f t="shared" si="4"/>
        <v>283436601.31904823</v>
      </c>
      <c r="L26" s="39"/>
    </row>
    <row r="27" spans="2:14" x14ac:dyDescent="0.2">
      <c r="B27" s="7">
        <v>2007</v>
      </c>
      <c r="C27" s="7" t="s">
        <v>99</v>
      </c>
      <c r="D27" s="7" t="s">
        <v>15</v>
      </c>
      <c r="E27" s="4">
        <v>2138</v>
      </c>
      <c r="F27" s="4">
        <f t="shared" si="1"/>
        <v>969781.64037339773</v>
      </c>
      <c r="G27" s="4">
        <f t="shared" si="2"/>
        <v>969781.64037339773</v>
      </c>
      <c r="H27" s="4">
        <v>8.4</v>
      </c>
      <c r="I27" s="4">
        <f t="shared" si="3"/>
        <v>8400</v>
      </c>
      <c r="J27" s="39">
        <f t="shared" si="0"/>
        <v>115.45019528254736</v>
      </c>
      <c r="K27" s="39">
        <f t="shared" si="4"/>
        <v>969781.64037339773</v>
      </c>
      <c r="L27" s="39"/>
    </row>
    <row r="28" spans="2:14" x14ac:dyDescent="0.2">
      <c r="B28" s="9">
        <v>2002</v>
      </c>
      <c r="C28" s="7" t="s">
        <v>99</v>
      </c>
      <c r="D28" s="7" t="s">
        <v>10</v>
      </c>
      <c r="E28" s="4">
        <v>5207</v>
      </c>
      <c r="F28" s="4">
        <f t="shared" si="1"/>
        <v>2361858.2794313761</v>
      </c>
      <c r="G28" s="4">
        <f t="shared" si="2"/>
        <v>2361858.2794313761</v>
      </c>
      <c r="H28" s="4">
        <v>19.2</v>
      </c>
      <c r="I28" s="4">
        <f t="shared" si="3"/>
        <v>19200</v>
      </c>
      <c r="J28" s="39">
        <f t="shared" si="0"/>
        <v>123.0134520537175</v>
      </c>
      <c r="K28" s="39">
        <f t="shared" si="4"/>
        <v>2361858.2794313761</v>
      </c>
      <c r="L28" s="39">
        <f t="shared" si="5"/>
        <v>114.99620824644005</v>
      </c>
      <c r="N28" s="6" t="s">
        <v>88</v>
      </c>
    </row>
    <row r="29" spans="2:14" x14ac:dyDescent="0.2">
      <c r="B29" s="7">
        <v>2002</v>
      </c>
      <c r="C29" s="7" t="s">
        <v>99</v>
      </c>
      <c r="D29" s="7" t="s">
        <v>11</v>
      </c>
      <c r="E29" s="4">
        <v>0</v>
      </c>
      <c r="F29" s="4">
        <f t="shared" si="1"/>
        <v>0</v>
      </c>
      <c r="G29" s="4">
        <f t="shared" si="2"/>
        <v>0</v>
      </c>
      <c r="H29" s="4"/>
      <c r="I29" s="4">
        <f t="shared" si="3"/>
        <v>0</v>
      </c>
      <c r="J29" s="39">
        <v>0</v>
      </c>
      <c r="K29" s="39">
        <f t="shared" si="4"/>
        <v>0</v>
      </c>
      <c r="L29" s="39"/>
    </row>
    <row r="30" spans="2:14" x14ac:dyDescent="0.2">
      <c r="B30" s="7">
        <v>2002</v>
      </c>
      <c r="C30" s="7" t="s">
        <v>99</v>
      </c>
      <c r="D30" s="7" t="s">
        <v>12</v>
      </c>
      <c r="E30" s="4">
        <v>7034</v>
      </c>
      <c r="F30" s="4">
        <f t="shared" si="1"/>
        <v>3190572.5249702898</v>
      </c>
      <c r="G30" s="4">
        <f t="shared" si="2"/>
        <v>3190572.5249702898</v>
      </c>
      <c r="H30" s="4">
        <v>36.1</v>
      </c>
      <c r="I30" s="4">
        <f t="shared" si="3"/>
        <v>36100</v>
      </c>
      <c r="J30" s="39">
        <f>G30/I30</f>
        <v>88.381510386988637</v>
      </c>
      <c r="K30" s="39">
        <f t="shared" si="4"/>
        <v>3190572.5249702898</v>
      </c>
      <c r="L30" s="39"/>
    </row>
    <row r="31" spans="2:14" x14ac:dyDescent="0.2">
      <c r="B31" s="7">
        <v>2002</v>
      </c>
      <c r="C31" s="7" t="s">
        <v>99</v>
      </c>
      <c r="D31" s="7" t="s">
        <v>13</v>
      </c>
      <c r="E31" s="4">
        <v>648983</v>
      </c>
      <c r="F31" s="4">
        <f t="shared" si="1"/>
        <v>294374087.14426976</v>
      </c>
      <c r="G31" s="4">
        <f t="shared" si="2"/>
        <v>294374087.14426976</v>
      </c>
      <c r="H31" s="4">
        <v>2628.4</v>
      </c>
      <c r="I31" s="4">
        <f t="shared" si="3"/>
        <v>2628400</v>
      </c>
      <c r="J31" s="39">
        <f t="shared" ref="J31:J33" si="6">G31/I31</f>
        <v>111.9974460296263</v>
      </c>
      <c r="K31" s="39">
        <f t="shared" si="4"/>
        <v>294374087.14426976</v>
      </c>
      <c r="L31" s="39"/>
    </row>
    <row r="32" spans="2:14" x14ac:dyDescent="0.2">
      <c r="B32" s="7">
        <v>2002</v>
      </c>
      <c r="C32" s="7" t="s">
        <v>99</v>
      </c>
      <c r="D32" s="7" t="s">
        <v>14</v>
      </c>
      <c r="E32" s="4">
        <v>1064738</v>
      </c>
      <c r="F32" s="4">
        <f t="shared" si="1"/>
        <v>482957607.20668417</v>
      </c>
      <c r="G32" s="4">
        <f t="shared" si="2"/>
        <v>482957607.20668417</v>
      </c>
      <c r="H32" s="4">
        <v>4124.3</v>
      </c>
      <c r="I32" s="4">
        <f t="shared" si="3"/>
        <v>4124300</v>
      </c>
      <c r="J32" s="39">
        <f t="shared" si="6"/>
        <v>117.10050365072478</v>
      </c>
      <c r="K32" s="39">
        <f t="shared" si="4"/>
        <v>482957607.20668417</v>
      </c>
      <c r="L32" s="39"/>
    </row>
    <row r="33" spans="1:14" x14ac:dyDescent="0.2">
      <c r="B33" s="7">
        <v>2002</v>
      </c>
      <c r="C33" s="7" t="s">
        <v>99</v>
      </c>
      <c r="D33" s="7" t="s">
        <v>15</v>
      </c>
      <c r="E33" s="4">
        <v>2456</v>
      </c>
      <c r="F33" s="4">
        <f t="shared" si="1"/>
        <v>1114024.1855739313</v>
      </c>
      <c r="G33" s="4">
        <f t="shared" si="2"/>
        <v>1114024.1855739313</v>
      </c>
      <c r="H33" s="4">
        <v>9.6</v>
      </c>
      <c r="I33" s="4">
        <f t="shared" si="3"/>
        <v>9600</v>
      </c>
      <c r="J33" s="39">
        <f t="shared" si="6"/>
        <v>116.04418599728452</v>
      </c>
      <c r="K33" s="39">
        <f t="shared" si="4"/>
        <v>1114024.1855739313</v>
      </c>
      <c r="L33" s="39"/>
    </row>
    <row r="36" spans="1:14" x14ac:dyDescent="0.2">
      <c r="A36" s="14" t="s">
        <v>39</v>
      </c>
      <c r="B36" t="s">
        <v>100</v>
      </c>
    </row>
    <row r="37" spans="1:14" x14ac:dyDescent="0.2">
      <c r="A37" s="15">
        <v>2002</v>
      </c>
      <c r="B37">
        <v>783998149.34092963</v>
      </c>
    </row>
    <row r="38" spans="1:14" x14ac:dyDescent="0.2">
      <c r="A38" s="15">
        <v>2007</v>
      </c>
      <c r="B38">
        <v>627608839.61861908</v>
      </c>
    </row>
    <row r="39" spans="1:14" x14ac:dyDescent="0.2">
      <c r="A39" s="15">
        <v>2012</v>
      </c>
      <c r="B39">
        <v>654745942.61142516</v>
      </c>
    </row>
    <row r="40" spans="1:14" x14ac:dyDescent="0.2">
      <c r="A40" s="15">
        <v>2017</v>
      </c>
      <c r="B40">
        <v>439650370.58540702</v>
      </c>
      <c r="J40" s="4">
        <v>655000000</v>
      </c>
      <c r="K40" s="4"/>
      <c r="L40" s="4"/>
      <c r="M40" s="4">
        <v>1710000</v>
      </c>
      <c r="N40" s="40">
        <f>J40/M40</f>
        <v>383.04093567251459</v>
      </c>
    </row>
    <row r="41" spans="1:14" x14ac:dyDescent="0.2">
      <c r="A41" s="15">
        <v>2022</v>
      </c>
      <c r="B41">
        <v>421814190.20057887</v>
      </c>
      <c r="J41" s="4">
        <v>628000000</v>
      </c>
      <c r="K41" s="4"/>
      <c r="L41" s="4"/>
      <c r="M41" s="4">
        <v>1840000</v>
      </c>
      <c r="N41" s="40">
        <f>J41/M41</f>
        <v>341.30434782608694</v>
      </c>
    </row>
    <row r="42" spans="1:14" x14ac:dyDescent="0.2">
      <c r="A42" s="15" t="s">
        <v>40</v>
      </c>
      <c r="B42">
        <v>2927817492.3569593</v>
      </c>
      <c r="J42" s="4">
        <v>784000000</v>
      </c>
      <c r="K42" s="4"/>
      <c r="L42" s="4"/>
      <c r="M42" s="4">
        <v>1800000</v>
      </c>
      <c r="N42" s="40">
        <f>J42/M42</f>
        <v>435.55555555555554</v>
      </c>
    </row>
  </sheetData>
  <autoFilter ref="B3:N33" xr:uid="{9B86CB97-713A-0F49-BC76-6D29C190C902}"/>
  <hyperlinks>
    <hyperlink ref="N4" r:id="rId2" xr:uid="{AB513D9B-D8FD-6041-ABAB-DFDB7C94435B}"/>
    <hyperlink ref="N28" r:id="rId3" xr:uid="{70AE7DF6-7E6C-3149-8CC4-ECE6A9C5D83B}"/>
  </hyperlinks>
  <pageMargins left="0.7" right="0.7" top="0.75" bottom="0.75" header="0.3" footer="0.3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6A78-FED9-8E45-B1D6-537BBD658E0D}">
  <dimension ref="B3:N43"/>
  <sheetViews>
    <sheetView topLeftCell="F1" workbookViewId="0">
      <selection activeCell="N28" sqref="N28"/>
    </sheetView>
  </sheetViews>
  <sheetFormatPr baseColWidth="10" defaultRowHeight="16" x14ac:dyDescent="0.2"/>
  <cols>
    <col min="2" max="2" width="13" bestFit="1" customWidth="1"/>
    <col min="3" max="3" width="29" bestFit="1" customWidth="1"/>
    <col min="7" max="7" width="15" style="4" bestFit="1" customWidth="1"/>
    <col min="8" max="12" width="15" style="4" customWidth="1"/>
    <col min="13" max="13" width="37.1640625" bestFit="1" customWidth="1"/>
  </cols>
  <sheetData>
    <row r="3" spans="2:14" x14ac:dyDescent="0.2">
      <c r="B3" s="7" t="s">
        <v>24</v>
      </c>
      <c r="C3" s="7" t="s">
        <v>16</v>
      </c>
      <c r="D3" s="7" t="s">
        <v>9</v>
      </c>
      <c r="E3" s="7" t="s">
        <v>70</v>
      </c>
      <c r="F3" s="7" t="s">
        <v>75</v>
      </c>
      <c r="G3" s="10" t="s">
        <v>77</v>
      </c>
      <c r="H3" s="10" t="s">
        <v>113</v>
      </c>
      <c r="I3" s="10" t="s">
        <v>107</v>
      </c>
      <c r="J3" s="10" t="s">
        <v>22</v>
      </c>
      <c r="K3" s="10"/>
      <c r="L3" s="10"/>
      <c r="M3" s="7" t="s">
        <v>45</v>
      </c>
      <c r="N3" s="7" t="s">
        <v>25</v>
      </c>
    </row>
    <row r="4" spans="2:14" x14ac:dyDescent="0.2">
      <c r="B4" s="9">
        <v>2022</v>
      </c>
      <c r="C4" s="7" t="s">
        <v>6</v>
      </c>
      <c r="D4" s="7" t="s">
        <v>10</v>
      </c>
      <c r="E4" s="2">
        <v>2822500</v>
      </c>
      <c r="F4" s="2">
        <v>2181923</v>
      </c>
      <c r="G4" s="4">
        <f>E4*1000/2.20462</f>
        <v>1280265986.8820932</v>
      </c>
      <c r="H4" s="4">
        <v>367956</v>
      </c>
      <c r="I4" s="4">
        <f t="shared" ref="I4:I32" si="0">H4*1000</f>
        <v>367956000</v>
      </c>
      <c r="J4" s="4">
        <f t="shared" ref="J4:J32" si="1">G4/I4</f>
        <v>3.4793996751842426</v>
      </c>
      <c r="K4" s="4">
        <f>J4*I4</f>
        <v>1280265986.8820932</v>
      </c>
      <c r="L4" s="4">
        <f>SUM(K4:K9)/SUM(I4:I9)</f>
        <v>3.05314867459504</v>
      </c>
      <c r="M4" t="s">
        <v>76</v>
      </c>
      <c r="N4" s="6" t="s">
        <v>68</v>
      </c>
    </row>
    <row r="5" spans="2:14" x14ac:dyDescent="0.2">
      <c r="B5" s="7">
        <v>2022</v>
      </c>
      <c r="C5" s="7" t="s">
        <v>6</v>
      </c>
      <c r="D5" s="7" t="s">
        <v>11</v>
      </c>
      <c r="E5" s="2">
        <v>921241</v>
      </c>
      <c r="F5" s="2">
        <v>687975</v>
      </c>
      <c r="G5" s="4">
        <f t="shared" ref="G5:G32" si="2">E5*1000/2.20462</f>
        <v>417868385.48139817</v>
      </c>
      <c r="H5" s="4">
        <v>142915</v>
      </c>
      <c r="I5" s="4">
        <f t="shared" si="0"/>
        <v>142915000</v>
      </c>
      <c r="J5" s="4">
        <f t="shared" si="1"/>
        <v>2.9238945210887461</v>
      </c>
      <c r="K5" s="4">
        <f t="shared" ref="K5:K33" si="3">J5*I5</f>
        <v>417868385.48139817</v>
      </c>
      <c r="M5" t="s">
        <v>76</v>
      </c>
    </row>
    <row r="6" spans="2:14" x14ac:dyDescent="0.2">
      <c r="B6" s="7">
        <v>2022</v>
      </c>
      <c r="C6" s="7" t="s">
        <v>6</v>
      </c>
      <c r="D6" s="7" t="s">
        <v>12</v>
      </c>
      <c r="E6" s="2">
        <v>153562</v>
      </c>
      <c r="F6" s="2">
        <v>93569</v>
      </c>
      <c r="G6" s="4">
        <f t="shared" si="2"/>
        <v>69654634.358755708</v>
      </c>
      <c r="H6" s="4">
        <v>31605</v>
      </c>
      <c r="I6" s="4">
        <f t="shared" si="0"/>
        <v>31605000</v>
      </c>
      <c r="J6" s="4">
        <f>G6/I6</f>
        <v>2.203911860742152</v>
      </c>
      <c r="K6" s="4">
        <f t="shared" si="3"/>
        <v>69654634.358755708</v>
      </c>
      <c r="M6" t="s">
        <v>76</v>
      </c>
    </row>
    <row r="7" spans="2:14" x14ac:dyDescent="0.2">
      <c r="B7" s="7">
        <v>2022</v>
      </c>
      <c r="C7" s="7" t="s">
        <v>6</v>
      </c>
      <c r="D7" s="7" t="s">
        <v>13</v>
      </c>
      <c r="E7" s="11">
        <v>826838</v>
      </c>
      <c r="F7" s="2">
        <v>570237</v>
      </c>
      <c r="G7" s="4">
        <f t="shared" si="2"/>
        <v>375047854.05194551</v>
      </c>
      <c r="H7" s="4">
        <v>144437</v>
      </c>
      <c r="I7" s="4">
        <f t="shared" si="0"/>
        <v>144437000</v>
      </c>
      <c r="J7" s="4">
        <f t="shared" si="1"/>
        <v>2.5966189691834192</v>
      </c>
      <c r="K7" s="4">
        <f t="shared" si="3"/>
        <v>375047854.05194551</v>
      </c>
      <c r="M7" t="s">
        <v>76</v>
      </c>
    </row>
    <row r="8" spans="2:14" x14ac:dyDescent="0.2">
      <c r="B8" s="7">
        <v>2022</v>
      </c>
      <c r="C8" s="7" t="s">
        <v>6</v>
      </c>
      <c r="D8" s="7" t="s">
        <v>14</v>
      </c>
      <c r="E8" s="2">
        <v>2119522</v>
      </c>
      <c r="F8" s="2">
        <v>1599495</v>
      </c>
      <c r="G8" s="4">
        <f t="shared" si="2"/>
        <v>961400150.59284604</v>
      </c>
      <c r="H8" s="4">
        <v>329820</v>
      </c>
      <c r="I8" s="4">
        <f t="shared" si="0"/>
        <v>329820000</v>
      </c>
      <c r="J8" s="4">
        <f t="shared" si="1"/>
        <v>2.9149237480833365</v>
      </c>
      <c r="K8" s="4">
        <f t="shared" si="3"/>
        <v>961400150.59284604</v>
      </c>
      <c r="M8" t="s">
        <v>76</v>
      </c>
    </row>
    <row r="9" spans="2:14" x14ac:dyDescent="0.2">
      <c r="B9" s="7">
        <v>2022</v>
      </c>
      <c r="C9" s="7" t="s">
        <v>6</v>
      </c>
      <c r="D9" s="7" t="s">
        <v>15</v>
      </c>
      <c r="E9" s="43">
        <v>0</v>
      </c>
      <c r="F9" s="43">
        <v>0</v>
      </c>
      <c r="G9" s="4">
        <f t="shared" si="2"/>
        <v>0</v>
      </c>
      <c r="H9" s="4">
        <v>0</v>
      </c>
      <c r="I9" s="4">
        <f t="shared" si="0"/>
        <v>0</v>
      </c>
      <c r="J9" s="4">
        <v>0</v>
      </c>
      <c r="K9" s="4">
        <f t="shared" si="3"/>
        <v>0</v>
      </c>
      <c r="M9" t="s">
        <v>71</v>
      </c>
    </row>
    <row r="10" spans="2:14" x14ac:dyDescent="0.2">
      <c r="B10" s="9">
        <v>2017</v>
      </c>
      <c r="C10" s="7" t="s">
        <v>6</v>
      </c>
      <c r="D10" s="7" t="s">
        <v>10</v>
      </c>
      <c r="E10" s="2">
        <v>2828604</v>
      </c>
      <c r="F10" s="2">
        <v>2089687</v>
      </c>
      <c r="G10" s="4">
        <f>E10*1000/2.20462</f>
        <v>1283034718.0012884</v>
      </c>
      <c r="H10" s="4">
        <v>392341</v>
      </c>
      <c r="I10" s="4">
        <f t="shared" si="0"/>
        <v>392341000</v>
      </c>
      <c r="J10" s="4">
        <f t="shared" si="1"/>
        <v>3.2702030070813106</v>
      </c>
      <c r="K10" s="4">
        <f t="shared" si="3"/>
        <v>1283034718.0012884</v>
      </c>
      <c r="L10" s="4">
        <f t="shared" ref="L10:L28" si="4">SUM(K10:K15)/SUM(I10:I15)</f>
        <v>2.7612731340774141</v>
      </c>
      <c r="M10" t="s">
        <v>76</v>
      </c>
      <c r="N10" s="6" t="s">
        <v>72</v>
      </c>
    </row>
    <row r="11" spans="2:14" x14ac:dyDescent="0.2">
      <c r="B11" s="7">
        <v>2017</v>
      </c>
      <c r="C11" s="7" t="s">
        <v>6</v>
      </c>
      <c r="D11" s="7" t="s">
        <v>11</v>
      </c>
      <c r="E11" s="2">
        <v>751824</v>
      </c>
      <c r="F11" s="2">
        <v>554964</v>
      </c>
      <c r="G11" s="4">
        <f t="shared" si="2"/>
        <v>341022035.54354042</v>
      </c>
      <c r="H11" s="4">
        <v>125440</v>
      </c>
      <c r="I11" s="4">
        <f t="shared" si="0"/>
        <v>125440000</v>
      </c>
      <c r="J11" s="4">
        <f t="shared" si="1"/>
        <v>2.718606788452969</v>
      </c>
      <c r="K11" s="4">
        <f t="shared" si="3"/>
        <v>341022035.54354042</v>
      </c>
      <c r="M11" t="s">
        <v>76</v>
      </c>
    </row>
    <row r="12" spans="2:14" x14ac:dyDescent="0.2">
      <c r="B12" s="7">
        <v>2017</v>
      </c>
      <c r="C12" s="7" t="s">
        <v>6</v>
      </c>
      <c r="D12" s="7" t="s">
        <v>12</v>
      </c>
      <c r="E12" s="2">
        <v>129665</v>
      </c>
      <c r="F12" s="2">
        <v>80265</v>
      </c>
      <c r="G12" s="4">
        <f t="shared" si="2"/>
        <v>58815124.60197223</v>
      </c>
      <c r="H12" s="4">
        <v>25970</v>
      </c>
      <c r="I12" s="4">
        <f t="shared" si="0"/>
        <v>25970000</v>
      </c>
      <c r="J12" s="4">
        <f t="shared" si="1"/>
        <v>2.2647333308422115</v>
      </c>
      <c r="K12" s="4">
        <f t="shared" si="3"/>
        <v>58815124.60197223</v>
      </c>
      <c r="M12" t="s">
        <v>76</v>
      </c>
    </row>
    <row r="13" spans="2:14" x14ac:dyDescent="0.2">
      <c r="B13" s="7">
        <v>2017</v>
      </c>
      <c r="C13" s="7" t="s">
        <v>6</v>
      </c>
      <c r="D13" s="7" t="s">
        <v>13</v>
      </c>
      <c r="E13" s="11">
        <v>661877</v>
      </c>
      <c r="F13" s="11">
        <v>448464</v>
      </c>
      <c r="G13" s="4">
        <f t="shared" si="2"/>
        <v>300222714.11853296</v>
      </c>
      <c r="H13" s="4">
        <v>117398</v>
      </c>
      <c r="I13" s="4">
        <f t="shared" si="0"/>
        <v>117398000</v>
      </c>
      <c r="J13" s="4">
        <f t="shared" si="1"/>
        <v>2.5573068886908885</v>
      </c>
      <c r="K13" s="4">
        <f t="shared" si="3"/>
        <v>300222714.11853296</v>
      </c>
      <c r="M13" t="s">
        <v>76</v>
      </c>
    </row>
    <row r="14" spans="2:14" x14ac:dyDescent="0.2">
      <c r="B14" s="7">
        <v>2017</v>
      </c>
      <c r="C14" s="7" t="s">
        <v>6</v>
      </c>
      <c r="D14" s="7" t="s">
        <v>14</v>
      </c>
      <c r="E14" s="2">
        <v>1974575</v>
      </c>
      <c r="F14" s="2">
        <v>1408186</v>
      </c>
      <c r="G14" s="4">
        <f t="shared" si="2"/>
        <v>895653219.14887834</v>
      </c>
      <c r="H14" s="4">
        <v>341175</v>
      </c>
      <c r="I14" s="4">
        <f t="shared" si="0"/>
        <v>341175000</v>
      </c>
      <c r="J14" s="4">
        <f t="shared" si="1"/>
        <v>2.6252017854440632</v>
      </c>
      <c r="K14" s="4">
        <f t="shared" si="3"/>
        <v>895653219.14887822</v>
      </c>
      <c r="M14" t="s">
        <v>76</v>
      </c>
    </row>
    <row r="15" spans="2:14" x14ac:dyDescent="0.2">
      <c r="B15" s="7">
        <v>2017</v>
      </c>
      <c r="C15" s="7" t="s">
        <v>6</v>
      </c>
      <c r="D15" s="7" t="s">
        <v>15</v>
      </c>
      <c r="E15" s="2">
        <v>419380</v>
      </c>
      <c r="F15" s="2">
        <v>300749</v>
      </c>
      <c r="G15" s="4">
        <f t="shared" si="2"/>
        <v>190227794.35911858</v>
      </c>
      <c r="H15" s="4">
        <v>109111</v>
      </c>
      <c r="I15" s="4">
        <f t="shared" si="0"/>
        <v>109111000</v>
      </c>
      <c r="J15" s="4">
        <f t="shared" si="1"/>
        <v>1.7434336992523081</v>
      </c>
      <c r="K15" s="4">
        <f t="shared" si="3"/>
        <v>190227794.35911858</v>
      </c>
      <c r="M15" t="s">
        <v>76</v>
      </c>
    </row>
    <row r="16" spans="2:14" x14ac:dyDescent="0.2">
      <c r="B16" s="9">
        <v>2012</v>
      </c>
      <c r="C16" s="7" t="s">
        <v>6</v>
      </c>
      <c r="D16" s="7" t="s">
        <v>10</v>
      </c>
      <c r="E16" s="2">
        <v>2194460</v>
      </c>
      <c r="F16" s="2">
        <v>1585989</v>
      </c>
      <c r="G16" s="4">
        <f t="shared" si="2"/>
        <v>995391496.04013395</v>
      </c>
      <c r="H16" s="4">
        <v>309147</v>
      </c>
      <c r="I16" s="4">
        <f t="shared" si="0"/>
        <v>309147000</v>
      </c>
      <c r="J16" s="4">
        <f t="shared" si="1"/>
        <v>3.2197999529030978</v>
      </c>
      <c r="K16" s="4">
        <f t="shared" si="3"/>
        <v>995391496.04013395</v>
      </c>
      <c r="L16" s="4">
        <f t="shared" si="4"/>
        <v>2.6231642998989355</v>
      </c>
      <c r="M16" t="s">
        <v>76</v>
      </c>
      <c r="N16" s="6" t="s">
        <v>73</v>
      </c>
    </row>
    <row r="17" spans="2:14" x14ac:dyDescent="0.2">
      <c r="B17" s="7">
        <v>2012</v>
      </c>
      <c r="C17" s="7" t="s">
        <v>6</v>
      </c>
      <c r="D17" s="7" t="s">
        <v>11</v>
      </c>
      <c r="E17" s="2">
        <v>682516</v>
      </c>
      <c r="F17" s="2">
        <v>493924</v>
      </c>
      <c r="G17" s="4">
        <f t="shared" si="2"/>
        <v>309584418.17637509</v>
      </c>
      <c r="H17" s="4">
        <v>128801</v>
      </c>
      <c r="I17" s="4">
        <f t="shared" si="0"/>
        <v>128801000</v>
      </c>
      <c r="J17" s="4">
        <f t="shared" si="1"/>
        <v>2.4035870697927431</v>
      </c>
      <c r="K17" s="4">
        <f t="shared" si="3"/>
        <v>309584418.17637509</v>
      </c>
      <c r="M17" t="s">
        <v>76</v>
      </c>
    </row>
    <row r="18" spans="2:14" x14ac:dyDescent="0.2">
      <c r="B18" s="7">
        <v>2012</v>
      </c>
      <c r="C18" s="7" t="s">
        <v>6</v>
      </c>
      <c r="D18" s="7" t="s">
        <v>12</v>
      </c>
      <c r="E18" s="2">
        <v>104431</v>
      </c>
      <c r="F18" s="2">
        <v>63334</v>
      </c>
      <c r="G18" s="4">
        <f t="shared" si="2"/>
        <v>47369161.125273295</v>
      </c>
      <c r="H18" s="4">
        <v>20453</v>
      </c>
      <c r="I18" s="4">
        <f t="shared" si="0"/>
        <v>20453000</v>
      </c>
      <c r="J18" s="4">
        <f t="shared" si="1"/>
        <v>2.3160006417285137</v>
      </c>
      <c r="K18" s="4">
        <f t="shared" si="3"/>
        <v>47369161.125273295</v>
      </c>
      <c r="M18" t="s">
        <v>76</v>
      </c>
    </row>
    <row r="19" spans="2:14" x14ac:dyDescent="0.2">
      <c r="B19" s="7">
        <v>2012</v>
      </c>
      <c r="C19" s="7" t="s">
        <v>6</v>
      </c>
      <c r="D19" s="7" t="s">
        <v>13</v>
      </c>
      <c r="E19" s="2">
        <v>730437</v>
      </c>
      <c r="F19" s="2">
        <v>505907</v>
      </c>
      <c r="G19" s="4">
        <f t="shared" si="2"/>
        <v>331321043.98944038</v>
      </c>
      <c r="H19" s="4">
        <v>130066</v>
      </c>
      <c r="I19" s="4">
        <f t="shared" si="0"/>
        <v>130066000</v>
      </c>
      <c r="J19" s="4">
        <f t="shared" si="1"/>
        <v>2.5473301553783494</v>
      </c>
      <c r="K19" s="4">
        <f t="shared" si="3"/>
        <v>331321043.98944038</v>
      </c>
      <c r="M19" t="s">
        <v>76</v>
      </c>
    </row>
    <row r="20" spans="2:14" x14ac:dyDescent="0.2">
      <c r="B20" s="7">
        <v>2012</v>
      </c>
      <c r="C20" s="7" t="s">
        <v>6</v>
      </c>
      <c r="D20" s="7" t="s">
        <v>14</v>
      </c>
      <c r="E20" s="2">
        <v>1690024</v>
      </c>
      <c r="F20" s="2">
        <v>1199402</v>
      </c>
      <c r="G20" s="4">
        <f t="shared" si="2"/>
        <v>766582903.17605758</v>
      </c>
      <c r="H20" s="4">
        <v>310249</v>
      </c>
      <c r="I20" s="4">
        <f t="shared" si="0"/>
        <v>310249000</v>
      </c>
      <c r="J20" s="4">
        <f t="shared" si="1"/>
        <v>2.4708634135035328</v>
      </c>
      <c r="K20" s="4">
        <f t="shared" si="3"/>
        <v>766582903.17605758</v>
      </c>
      <c r="M20" t="s">
        <v>76</v>
      </c>
    </row>
    <row r="21" spans="2:14" x14ac:dyDescent="0.2">
      <c r="B21" s="7">
        <v>2012</v>
      </c>
      <c r="C21" s="7" t="s">
        <v>6</v>
      </c>
      <c r="D21" s="7" t="s">
        <v>15</v>
      </c>
      <c r="E21" s="2">
        <v>453154</v>
      </c>
      <c r="F21" s="2">
        <v>324762</v>
      </c>
      <c r="G21" s="4">
        <f t="shared" si="2"/>
        <v>205547441.2823979</v>
      </c>
      <c r="H21" s="4">
        <v>113724</v>
      </c>
      <c r="I21" s="4">
        <f t="shared" si="0"/>
        <v>113724000</v>
      </c>
      <c r="J21" s="4">
        <f t="shared" si="1"/>
        <v>1.8074235982061648</v>
      </c>
      <c r="K21" s="4">
        <f t="shared" si="3"/>
        <v>205547441.2823979</v>
      </c>
      <c r="M21" t="s">
        <v>76</v>
      </c>
    </row>
    <row r="22" spans="2:14" x14ac:dyDescent="0.2">
      <c r="B22" s="9">
        <v>2007</v>
      </c>
      <c r="C22" s="7" t="s">
        <v>6</v>
      </c>
      <c r="D22" s="7" t="s">
        <v>10</v>
      </c>
      <c r="E22" s="2">
        <v>2060893</v>
      </c>
      <c r="F22" s="2">
        <v>1491632</v>
      </c>
      <c r="G22" s="4">
        <f t="shared" si="2"/>
        <v>934806451.90554392</v>
      </c>
      <c r="H22" s="4">
        <v>306875</v>
      </c>
      <c r="I22" s="4">
        <f t="shared" si="0"/>
        <v>306875000</v>
      </c>
      <c r="J22" s="4">
        <f t="shared" si="1"/>
        <v>3.0462124705679638</v>
      </c>
      <c r="K22" s="4">
        <f t="shared" si="3"/>
        <v>934806451.90554392</v>
      </c>
      <c r="L22" s="4">
        <f t="shared" si="4"/>
        <v>2.5823463524713288</v>
      </c>
      <c r="M22" t="s">
        <v>76</v>
      </c>
      <c r="N22" s="6" t="s">
        <v>50</v>
      </c>
    </row>
    <row r="23" spans="2:14" x14ac:dyDescent="0.2">
      <c r="B23" s="7">
        <v>2007</v>
      </c>
      <c r="C23" s="7" t="s">
        <v>6</v>
      </c>
      <c r="D23" s="7" t="s">
        <v>11</v>
      </c>
      <c r="E23" s="2">
        <v>682858</v>
      </c>
      <c r="F23" s="2">
        <v>496948</v>
      </c>
      <c r="G23" s="4">
        <f t="shared" si="2"/>
        <v>309739546.95140207</v>
      </c>
      <c r="H23" s="4">
        <v>143573</v>
      </c>
      <c r="I23" s="4">
        <f t="shared" si="0"/>
        <v>143573000</v>
      </c>
      <c r="J23" s="4">
        <f t="shared" si="1"/>
        <v>2.1573662662993884</v>
      </c>
      <c r="K23" s="4">
        <f t="shared" si="3"/>
        <v>309739546.95140207</v>
      </c>
      <c r="M23" t="s">
        <v>76</v>
      </c>
    </row>
    <row r="24" spans="2:14" x14ac:dyDescent="0.2">
      <c r="B24" s="7">
        <v>2007</v>
      </c>
      <c r="C24" s="7" t="s">
        <v>6</v>
      </c>
      <c r="D24" s="7" t="s">
        <v>12</v>
      </c>
      <c r="E24" s="2">
        <v>97495</v>
      </c>
      <c r="F24" s="2">
        <v>58062</v>
      </c>
      <c r="G24" s="4">
        <f t="shared" si="2"/>
        <v>44223040.705427699</v>
      </c>
      <c r="H24" s="4">
        <v>18525</v>
      </c>
      <c r="I24" s="4">
        <f t="shared" si="0"/>
        <v>18525000</v>
      </c>
      <c r="J24" s="4">
        <f t="shared" si="1"/>
        <v>2.3872086750568258</v>
      </c>
      <c r="K24" s="4">
        <f t="shared" si="3"/>
        <v>44223040.705427699</v>
      </c>
      <c r="M24" t="s">
        <v>76</v>
      </c>
    </row>
    <row r="25" spans="2:14" x14ac:dyDescent="0.2">
      <c r="B25" s="7">
        <v>2007</v>
      </c>
      <c r="C25" s="7" t="s">
        <v>6</v>
      </c>
      <c r="D25" s="7" t="s">
        <v>13</v>
      </c>
      <c r="E25" s="2">
        <v>663503</v>
      </c>
      <c r="F25" s="2">
        <v>488245</v>
      </c>
      <c r="G25" s="4">
        <f t="shared" si="2"/>
        <v>300960256.18927526</v>
      </c>
      <c r="H25" s="4">
        <v>118657</v>
      </c>
      <c r="I25" s="4">
        <f t="shared" si="0"/>
        <v>118657000</v>
      </c>
      <c r="J25" s="4">
        <f t="shared" si="1"/>
        <v>2.5363885501005021</v>
      </c>
      <c r="K25" s="4">
        <f t="shared" si="3"/>
        <v>300960256.18927526</v>
      </c>
      <c r="M25" t="s">
        <v>76</v>
      </c>
    </row>
    <row r="26" spans="2:14" x14ac:dyDescent="0.2">
      <c r="B26" s="7">
        <v>2007</v>
      </c>
      <c r="C26" s="7" t="s">
        <v>6</v>
      </c>
      <c r="D26" s="7" t="s">
        <v>14</v>
      </c>
      <c r="E26" s="2">
        <v>1612749</v>
      </c>
      <c r="F26" s="2">
        <v>1097381</v>
      </c>
      <c r="G26" s="4">
        <f t="shared" si="2"/>
        <v>731531511.09941852</v>
      </c>
      <c r="H26" s="4">
        <v>311266</v>
      </c>
      <c r="I26" s="4">
        <f t="shared" si="0"/>
        <v>311266000</v>
      </c>
      <c r="J26" s="4">
        <f t="shared" si="1"/>
        <v>2.3501812311637589</v>
      </c>
      <c r="K26" s="4">
        <f t="shared" si="3"/>
        <v>731531511.09941852</v>
      </c>
      <c r="M26" t="s">
        <v>76</v>
      </c>
    </row>
    <row r="27" spans="2:14" x14ac:dyDescent="0.2">
      <c r="B27" s="7">
        <v>2007</v>
      </c>
      <c r="C27" s="7" t="s">
        <v>6</v>
      </c>
      <c r="D27" s="7" t="s">
        <v>15</v>
      </c>
      <c r="E27" s="43">
        <v>0</v>
      </c>
      <c r="F27" s="2">
        <v>0</v>
      </c>
      <c r="G27" s="4">
        <v>0</v>
      </c>
      <c r="H27" s="4">
        <v>0</v>
      </c>
      <c r="I27" s="4">
        <f t="shared" si="0"/>
        <v>0</v>
      </c>
      <c r="J27" s="4">
        <v>0</v>
      </c>
      <c r="K27" s="4">
        <f t="shared" si="3"/>
        <v>0</v>
      </c>
      <c r="M27" t="s">
        <v>78</v>
      </c>
    </row>
    <row r="28" spans="2:14" x14ac:dyDescent="0.2">
      <c r="B28" s="9">
        <v>2002</v>
      </c>
      <c r="C28" s="7" t="s">
        <v>6</v>
      </c>
      <c r="D28" s="7" t="s">
        <v>10</v>
      </c>
      <c r="E28" s="2">
        <v>1575048</v>
      </c>
      <c r="F28" s="2">
        <v>1140250</v>
      </c>
      <c r="G28" s="4">
        <f t="shared" si="2"/>
        <v>714430604.82078552</v>
      </c>
      <c r="H28" s="4">
        <v>261528</v>
      </c>
      <c r="I28" s="4">
        <f t="shared" si="0"/>
        <v>261528000</v>
      </c>
      <c r="J28" s="4">
        <f t="shared" si="1"/>
        <v>2.731755700425138</v>
      </c>
      <c r="K28" s="4">
        <f t="shared" si="3"/>
        <v>714430604.82078552</v>
      </c>
      <c r="L28" s="4">
        <f t="shared" si="4"/>
        <v>2.3670806604455858</v>
      </c>
      <c r="M28" t="s">
        <v>76</v>
      </c>
      <c r="N28" s="6" t="s">
        <v>74</v>
      </c>
    </row>
    <row r="29" spans="2:14" x14ac:dyDescent="0.2">
      <c r="B29" s="7">
        <v>2002</v>
      </c>
      <c r="C29" s="7" t="s">
        <v>6</v>
      </c>
      <c r="D29" s="7" t="s">
        <v>11</v>
      </c>
      <c r="E29" s="2">
        <v>934174</v>
      </c>
      <c r="F29" s="2">
        <v>670462</v>
      </c>
      <c r="G29" s="4">
        <f t="shared" si="2"/>
        <v>423734702.57912934</v>
      </c>
      <c r="H29" s="4">
        <v>197757</v>
      </c>
      <c r="I29" s="4">
        <f t="shared" si="0"/>
        <v>197757000</v>
      </c>
      <c r="J29" s="4">
        <f t="shared" si="1"/>
        <v>2.1427039375553298</v>
      </c>
      <c r="K29" s="4">
        <f t="shared" si="3"/>
        <v>423734702.57912934</v>
      </c>
      <c r="M29" t="s">
        <v>76</v>
      </c>
    </row>
    <row r="30" spans="2:14" x14ac:dyDescent="0.2">
      <c r="B30" s="7">
        <v>2002</v>
      </c>
      <c r="C30" s="7" t="s">
        <v>6</v>
      </c>
      <c r="D30" s="7" t="s">
        <v>12</v>
      </c>
      <c r="E30" s="43">
        <v>0</v>
      </c>
      <c r="F30" s="43">
        <v>0</v>
      </c>
      <c r="G30" s="4">
        <v>0</v>
      </c>
      <c r="H30" s="4">
        <v>0</v>
      </c>
      <c r="I30" s="4">
        <v>0</v>
      </c>
      <c r="J30" s="4">
        <v>0</v>
      </c>
      <c r="K30" s="4">
        <f t="shared" si="3"/>
        <v>0</v>
      </c>
      <c r="M30" t="s">
        <v>78</v>
      </c>
    </row>
    <row r="31" spans="2:14" x14ac:dyDescent="0.2">
      <c r="B31" s="7">
        <v>2002</v>
      </c>
      <c r="C31" s="7" t="s">
        <v>6</v>
      </c>
      <c r="D31" s="7" t="s">
        <v>13</v>
      </c>
      <c r="E31" s="2">
        <v>584932</v>
      </c>
      <c r="F31" s="2">
        <v>405673</v>
      </c>
      <c r="G31" s="4">
        <f t="shared" si="2"/>
        <v>265321007.70200762</v>
      </c>
      <c r="H31" s="4">
        <v>110751</v>
      </c>
      <c r="I31" s="4">
        <f t="shared" si="0"/>
        <v>110751000</v>
      </c>
      <c r="J31" s="4">
        <f t="shared" si="1"/>
        <v>2.3956533819289003</v>
      </c>
      <c r="K31" s="4">
        <f t="shared" si="3"/>
        <v>265321007.70200765</v>
      </c>
      <c r="M31" t="s">
        <v>76</v>
      </c>
    </row>
    <row r="32" spans="2:14" x14ac:dyDescent="0.2">
      <c r="B32" s="7">
        <v>2002</v>
      </c>
      <c r="C32" s="7" t="s">
        <v>6</v>
      </c>
      <c r="D32" s="7" t="s">
        <v>14</v>
      </c>
      <c r="E32" s="2">
        <v>1650701</v>
      </c>
      <c r="F32" s="2">
        <v>1190668</v>
      </c>
      <c r="G32" s="4">
        <f t="shared" si="2"/>
        <v>748746269.19831991</v>
      </c>
      <c r="H32" s="4">
        <v>339199</v>
      </c>
      <c r="I32" s="4">
        <f t="shared" si="0"/>
        <v>339199000</v>
      </c>
      <c r="J32" s="4">
        <f t="shared" si="1"/>
        <v>2.2073952729763939</v>
      </c>
      <c r="K32" s="4">
        <f t="shared" si="3"/>
        <v>748746269.19831979</v>
      </c>
      <c r="M32" t="s">
        <v>76</v>
      </c>
    </row>
    <row r="33" spans="2:13" x14ac:dyDescent="0.2">
      <c r="B33" s="7">
        <v>2002</v>
      </c>
      <c r="C33" s="7" t="s">
        <v>6</v>
      </c>
      <c r="D33" s="7" t="s">
        <v>15</v>
      </c>
      <c r="E33" s="43">
        <v>0</v>
      </c>
      <c r="F33" s="2">
        <v>0</v>
      </c>
      <c r="G33" s="4">
        <v>0</v>
      </c>
      <c r="H33" s="4">
        <v>0</v>
      </c>
      <c r="I33" s="4">
        <v>0</v>
      </c>
      <c r="J33" s="4">
        <v>0</v>
      </c>
      <c r="K33" s="4">
        <f t="shared" si="3"/>
        <v>0</v>
      </c>
      <c r="M33" t="s">
        <v>78</v>
      </c>
    </row>
    <row r="37" spans="2:13" x14ac:dyDescent="0.2">
      <c r="B37" s="14" t="s">
        <v>39</v>
      </c>
      <c r="C37" t="s">
        <v>79</v>
      </c>
    </row>
    <row r="38" spans="2:13" x14ac:dyDescent="0.2">
      <c r="B38" s="15">
        <v>2002</v>
      </c>
      <c r="C38">
        <v>1545415082.8714247</v>
      </c>
    </row>
    <row r="39" spans="2:13" x14ac:dyDescent="0.2">
      <c r="B39" s="15">
        <v>2007</v>
      </c>
      <c r="C39">
        <v>1647571009.9699724</v>
      </c>
    </row>
    <row r="40" spans="2:13" x14ac:dyDescent="0.2">
      <c r="B40" s="15">
        <v>2012</v>
      </c>
      <c r="C40">
        <v>1892987453.6201253</v>
      </c>
    </row>
    <row r="41" spans="2:13" x14ac:dyDescent="0.2">
      <c r="B41" s="15">
        <v>2017</v>
      </c>
      <c r="C41">
        <v>2214583465.6312656</v>
      </c>
    </row>
    <row r="42" spans="2:13" x14ac:dyDescent="0.2">
      <c r="B42" s="15">
        <v>2022</v>
      </c>
      <c r="C42">
        <v>2328382669.1221166</v>
      </c>
    </row>
    <row r="43" spans="2:13" x14ac:dyDescent="0.2">
      <c r="B43" s="15" t="s">
        <v>40</v>
      </c>
      <c r="C43">
        <v>9628939681.2149048</v>
      </c>
    </row>
  </sheetData>
  <autoFilter ref="B3:M33" xr:uid="{10B16A78-FED9-8E45-B1D6-537BBD658E0D}"/>
  <hyperlinks>
    <hyperlink ref="N4" r:id="rId2" xr:uid="{268FDD5F-783A-3140-A050-2B39938C3834}"/>
    <hyperlink ref="N10" r:id="rId3" xr:uid="{2DA1BD06-ED74-0642-A152-23A2B43915FC}"/>
    <hyperlink ref="N16" r:id="rId4" xr:uid="{E2FCB5E4-9D8E-FF4B-BAB1-3A4049323ECB}"/>
    <hyperlink ref="N22" r:id="rId5" xr:uid="{922BBDCC-C8BA-2649-A7D8-28A7C741B889}"/>
    <hyperlink ref="N28" r:id="rId6" xr:uid="{3F6315CC-66E2-6243-A089-6A52B7CA977C}"/>
  </hyperlinks>
  <pageMargins left="0.7" right="0.7" top="0.75" bottom="0.75" header="0.3" footer="0.3"/>
  <legacy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C53B-95AC-534C-ACFA-672E53D84475}">
  <sheetPr>
    <tabColor rgb="FFC00000"/>
  </sheetPr>
  <dimension ref="B3:Z51"/>
  <sheetViews>
    <sheetView topLeftCell="C1" workbookViewId="0">
      <selection activeCell="N10" sqref="N10"/>
    </sheetView>
  </sheetViews>
  <sheetFormatPr baseColWidth="10" defaultRowHeight="16" x14ac:dyDescent="0.2"/>
  <cols>
    <col min="2" max="2" width="13" bestFit="1" customWidth="1"/>
    <col min="3" max="3" width="29" bestFit="1" customWidth="1"/>
    <col min="8" max="8" width="17.6640625" style="10" bestFit="1" customWidth="1"/>
    <col min="9" max="9" width="11.83203125" style="10" bestFit="1" customWidth="1"/>
    <col min="10" max="10" width="17.5" style="10" bestFit="1" customWidth="1"/>
    <col min="11" max="12" width="17.5" style="10" customWidth="1"/>
  </cols>
  <sheetData>
    <row r="3" spans="2:14" x14ac:dyDescent="0.2">
      <c r="B3" s="7" t="s">
        <v>24</v>
      </c>
      <c r="C3" s="7" t="s">
        <v>16</v>
      </c>
      <c r="D3" s="7" t="s">
        <v>9</v>
      </c>
      <c r="E3" s="7" t="s">
        <v>70</v>
      </c>
      <c r="F3" s="7" t="s">
        <v>75</v>
      </c>
      <c r="G3" s="7" t="s">
        <v>77</v>
      </c>
      <c r="H3" s="10" t="s">
        <v>113</v>
      </c>
      <c r="I3" s="10" t="s">
        <v>107</v>
      </c>
      <c r="J3" s="10" t="s">
        <v>22</v>
      </c>
      <c r="M3" s="7" t="s">
        <v>45</v>
      </c>
      <c r="N3" s="7" t="s">
        <v>25</v>
      </c>
    </row>
    <row r="4" spans="2:14" x14ac:dyDescent="0.2">
      <c r="B4" s="9">
        <v>2022</v>
      </c>
      <c r="C4" s="7" t="s">
        <v>7</v>
      </c>
      <c r="D4" s="7" t="s">
        <v>10</v>
      </c>
      <c r="E4" s="34"/>
      <c r="F4" s="34"/>
      <c r="G4" s="4">
        <f t="shared" ref="G4:G33" si="0">E4*1000/2.20462</f>
        <v>0</v>
      </c>
      <c r="N4" s="6" t="s">
        <v>68</v>
      </c>
    </row>
    <row r="5" spans="2:14" x14ac:dyDescent="0.2">
      <c r="B5" s="7">
        <v>2022</v>
      </c>
      <c r="C5" s="7" t="s">
        <v>7</v>
      </c>
      <c r="D5" s="7" t="s">
        <v>11</v>
      </c>
      <c r="E5" s="34"/>
      <c r="F5" s="34"/>
      <c r="G5" s="4">
        <f t="shared" si="0"/>
        <v>0</v>
      </c>
    </row>
    <row r="6" spans="2:14" x14ac:dyDescent="0.2">
      <c r="B6" s="7">
        <v>2022</v>
      </c>
      <c r="C6" s="7" t="s">
        <v>7</v>
      </c>
      <c r="D6" s="7" t="s">
        <v>12</v>
      </c>
      <c r="E6" s="34"/>
      <c r="F6" s="34"/>
      <c r="G6" s="4">
        <f t="shared" si="0"/>
        <v>0</v>
      </c>
    </row>
    <row r="7" spans="2:14" x14ac:dyDescent="0.2">
      <c r="B7" s="7">
        <v>2022</v>
      </c>
      <c r="C7" s="7" t="s">
        <v>7</v>
      </c>
      <c r="D7" s="7" t="s">
        <v>13</v>
      </c>
      <c r="E7" s="2">
        <v>210431</v>
      </c>
      <c r="F7" s="2">
        <v>167065</v>
      </c>
      <c r="G7" s="4">
        <f>E7*1000/2.20462</f>
        <v>95450009.525451109</v>
      </c>
      <c r="H7" s="10">
        <v>7655</v>
      </c>
      <c r="I7" s="10">
        <f>H7*1000</f>
        <v>7655000</v>
      </c>
      <c r="J7" s="44">
        <f>G7/I7</f>
        <v>12.468975770797009</v>
      </c>
      <c r="K7" s="44"/>
      <c r="L7" s="44"/>
      <c r="M7" t="s">
        <v>76</v>
      </c>
    </row>
    <row r="8" spans="2:14" x14ac:dyDescent="0.2">
      <c r="B8" s="7">
        <v>2022</v>
      </c>
      <c r="C8" s="7" t="s">
        <v>7</v>
      </c>
      <c r="D8" s="7" t="s">
        <v>14</v>
      </c>
      <c r="E8" s="34"/>
      <c r="F8" s="34"/>
      <c r="G8" s="4">
        <f t="shared" si="0"/>
        <v>0</v>
      </c>
    </row>
    <row r="9" spans="2:14" x14ac:dyDescent="0.2">
      <c r="B9" s="7">
        <v>2022</v>
      </c>
      <c r="C9" s="7" t="s">
        <v>7</v>
      </c>
      <c r="D9" s="7" t="s">
        <v>15</v>
      </c>
      <c r="E9" s="34"/>
      <c r="F9" s="34"/>
      <c r="G9" s="4">
        <f t="shared" si="0"/>
        <v>0</v>
      </c>
    </row>
    <row r="10" spans="2:14" x14ac:dyDescent="0.2">
      <c r="B10" s="9">
        <v>2017</v>
      </c>
      <c r="C10" s="7" t="s">
        <v>7</v>
      </c>
      <c r="D10" s="7" t="s">
        <v>10</v>
      </c>
      <c r="E10" s="34"/>
      <c r="F10" s="34"/>
      <c r="G10" s="4">
        <f t="shared" si="0"/>
        <v>0</v>
      </c>
      <c r="N10" s="6" t="s">
        <v>72</v>
      </c>
    </row>
    <row r="11" spans="2:14" x14ac:dyDescent="0.2">
      <c r="B11" s="7">
        <v>2017</v>
      </c>
      <c r="C11" s="7" t="s">
        <v>7</v>
      </c>
      <c r="D11" s="7" t="s">
        <v>11</v>
      </c>
      <c r="E11" s="34"/>
      <c r="F11" s="34"/>
      <c r="G11" s="4">
        <f t="shared" si="0"/>
        <v>0</v>
      </c>
    </row>
    <row r="12" spans="2:14" x14ac:dyDescent="0.2">
      <c r="B12" s="7">
        <v>2017</v>
      </c>
      <c r="C12" s="7" t="s">
        <v>7</v>
      </c>
      <c r="D12" s="7" t="s">
        <v>12</v>
      </c>
      <c r="E12" s="34"/>
      <c r="F12" s="34"/>
      <c r="G12" s="4">
        <f t="shared" si="0"/>
        <v>0</v>
      </c>
    </row>
    <row r="13" spans="2:14" x14ac:dyDescent="0.2">
      <c r="B13" s="7">
        <v>2017</v>
      </c>
      <c r="C13" s="7" t="s">
        <v>7</v>
      </c>
      <c r="D13" s="7" t="s">
        <v>13</v>
      </c>
      <c r="E13" s="2">
        <v>274758</v>
      </c>
      <c r="F13" s="2">
        <v>218197</v>
      </c>
      <c r="G13" s="4">
        <f t="shared" si="0"/>
        <v>124628280.61071751</v>
      </c>
      <c r="H13" s="10">
        <v>9634</v>
      </c>
      <c r="I13" s="10">
        <f>H13*1000</f>
        <v>9634000</v>
      </c>
      <c r="J13" s="44">
        <f>G13/I13</f>
        <v>12.936296513464553</v>
      </c>
      <c r="K13" s="44">
        <f>J13*I13</f>
        <v>124628280.61071751</v>
      </c>
      <c r="L13" s="44">
        <f>SUM(K13:K14)/SUM(I13:I14)</f>
        <v>12.573778069257116</v>
      </c>
      <c r="M13" t="s">
        <v>76</v>
      </c>
    </row>
    <row r="14" spans="2:14" x14ac:dyDescent="0.2">
      <c r="B14" s="7">
        <v>2017</v>
      </c>
      <c r="C14" s="7" t="s">
        <v>7</v>
      </c>
      <c r="D14" s="7" t="s">
        <v>14</v>
      </c>
      <c r="E14" s="2">
        <v>733239</v>
      </c>
      <c r="F14" s="2">
        <v>593186</v>
      </c>
      <c r="G14" s="4">
        <f t="shared" si="0"/>
        <v>332592011.32167906</v>
      </c>
      <c r="H14" s="10">
        <v>26729</v>
      </c>
      <c r="I14" s="10">
        <f>H14*1000</f>
        <v>26729000</v>
      </c>
      <c r="J14" s="44">
        <f>G14/I14</f>
        <v>12.443114644082423</v>
      </c>
      <c r="K14" s="44">
        <f>J14*I14</f>
        <v>332592011.32167906</v>
      </c>
      <c r="L14" s="44"/>
      <c r="M14" t="s">
        <v>76</v>
      </c>
    </row>
    <row r="15" spans="2:14" x14ac:dyDescent="0.2">
      <c r="B15" s="7">
        <v>2017</v>
      </c>
      <c r="C15" s="7" t="s">
        <v>7</v>
      </c>
      <c r="D15" s="7" t="s">
        <v>15</v>
      </c>
      <c r="E15" s="34"/>
      <c r="F15" s="34"/>
      <c r="G15" s="4">
        <f t="shared" si="0"/>
        <v>0</v>
      </c>
    </row>
    <row r="16" spans="2:14" x14ac:dyDescent="0.2">
      <c r="B16" s="9">
        <v>2012</v>
      </c>
      <c r="C16" s="7" t="s">
        <v>7</v>
      </c>
      <c r="D16" s="7" t="s">
        <v>10</v>
      </c>
      <c r="E16" s="34"/>
      <c r="F16" s="34"/>
      <c r="G16" s="4">
        <f t="shared" si="0"/>
        <v>0</v>
      </c>
      <c r="M16" t="s">
        <v>76</v>
      </c>
      <c r="N16" s="6" t="s">
        <v>73</v>
      </c>
    </row>
    <row r="17" spans="2:14" x14ac:dyDescent="0.2">
      <c r="B17" s="7">
        <v>2012</v>
      </c>
      <c r="C17" s="7" t="s">
        <v>7</v>
      </c>
      <c r="D17" s="7" t="s">
        <v>11</v>
      </c>
      <c r="E17" s="34"/>
      <c r="F17" s="34"/>
      <c r="G17" s="4">
        <f t="shared" si="0"/>
        <v>0</v>
      </c>
      <c r="M17" t="s">
        <v>76</v>
      </c>
    </row>
    <row r="18" spans="2:14" x14ac:dyDescent="0.2">
      <c r="B18" s="7">
        <v>2012</v>
      </c>
      <c r="C18" s="7" t="s">
        <v>7</v>
      </c>
      <c r="D18" s="7" t="s">
        <v>12</v>
      </c>
      <c r="E18" s="34"/>
      <c r="F18" s="34"/>
      <c r="G18" s="4">
        <f t="shared" si="0"/>
        <v>0</v>
      </c>
      <c r="M18" t="s">
        <v>76</v>
      </c>
    </row>
    <row r="19" spans="2:14" x14ac:dyDescent="0.2">
      <c r="B19" s="7">
        <v>2012</v>
      </c>
      <c r="C19" s="7" t="s">
        <v>7</v>
      </c>
      <c r="D19" s="7" t="s">
        <v>13</v>
      </c>
      <c r="E19" s="2">
        <v>169478</v>
      </c>
      <c r="F19" s="2">
        <v>133902</v>
      </c>
      <c r="G19" s="4">
        <f t="shared" si="0"/>
        <v>76874019.105333358</v>
      </c>
      <c r="H19" s="10">
        <v>7013</v>
      </c>
      <c r="I19" s="10">
        <f>H19*1000</f>
        <v>7013000</v>
      </c>
      <c r="J19" s="44">
        <f>G19/I19</f>
        <v>10.961645387898669</v>
      </c>
      <c r="K19" s="44">
        <f>J19*I19</f>
        <v>76874019.105333358</v>
      </c>
      <c r="L19" s="44">
        <f>SUM(K19:K20)/SUM(I19:I20)</f>
        <v>11.781438939767503</v>
      </c>
      <c r="M19" t="s">
        <v>76</v>
      </c>
    </row>
    <row r="20" spans="2:14" x14ac:dyDescent="0.2">
      <c r="B20" s="7">
        <v>2012</v>
      </c>
      <c r="C20" s="7" t="s">
        <v>7</v>
      </c>
      <c r="D20" s="7" t="s">
        <v>14</v>
      </c>
      <c r="E20" s="2">
        <v>720767</v>
      </c>
      <c r="F20" s="2">
        <v>579120</v>
      </c>
      <c r="G20" s="4">
        <f t="shared" si="0"/>
        <v>326934800.55519778</v>
      </c>
      <c r="H20" s="10">
        <v>27262</v>
      </c>
      <c r="I20" s="10">
        <f>H20*1000</f>
        <v>27262000</v>
      </c>
      <c r="J20" s="44">
        <f>G20/I20</f>
        <v>11.992326335382502</v>
      </c>
      <c r="K20" s="44">
        <f>J20*I20</f>
        <v>326934800.55519778</v>
      </c>
      <c r="L20" s="44"/>
      <c r="M20" t="s">
        <v>76</v>
      </c>
    </row>
    <row r="21" spans="2:14" x14ac:dyDescent="0.2">
      <c r="B21" s="7">
        <v>2012</v>
      </c>
      <c r="C21" s="7" t="s">
        <v>7</v>
      </c>
      <c r="D21" s="7" t="s">
        <v>15</v>
      </c>
      <c r="E21" s="34"/>
      <c r="F21" s="34"/>
      <c r="G21" s="4">
        <f t="shared" si="0"/>
        <v>0</v>
      </c>
      <c r="M21" t="s">
        <v>76</v>
      </c>
    </row>
    <row r="22" spans="2:14" x14ac:dyDescent="0.2">
      <c r="B22" s="9">
        <v>2007</v>
      </c>
      <c r="C22" s="7" t="s">
        <v>7</v>
      </c>
      <c r="D22" s="7" t="s">
        <v>10</v>
      </c>
      <c r="E22" s="34"/>
      <c r="F22" s="34"/>
      <c r="G22" s="4">
        <f t="shared" si="0"/>
        <v>0</v>
      </c>
      <c r="M22" t="s">
        <v>76</v>
      </c>
      <c r="N22" s="6" t="s">
        <v>50</v>
      </c>
    </row>
    <row r="23" spans="2:14" x14ac:dyDescent="0.2">
      <c r="B23" s="7">
        <v>2007</v>
      </c>
      <c r="C23" s="7" t="s">
        <v>7</v>
      </c>
      <c r="D23" s="7" t="s">
        <v>11</v>
      </c>
      <c r="E23" s="34"/>
      <c r="F23" s="34"/>
      <c r="G23" s="4">
        <f t="shared" si="0"/>
        <v>0</v>
      </c>
      <c r="M23" t="s">
        <v>76</v>
      </c>
    </row>
    <row r="24" spans="2:14" x14ac:dyDescent="0.2">
      <c r="B24" s="7">
        <v>2007</v>
      </c>
      <c r="C24" s="7" t="s">
        <v>7</v>
      </c>
      <c r="D24" s="7" t="s">
        <v>12</v>
      </c>
      <c r="E24" s="34"/>
      <c r="F24" s="34"/>
      <c r="G24" s="4">
        <f t="shared" si="0"/>
        <v>0</v>
      </c>
      <c r="M24" t="s">
        <v>76</v>
      </c>
    </row>
    <row r="25" spans="2:14" x14ac:dyDescent="0.2">
      <c r="B25" s="7">
        <v>2007</v>
      </c>
      <c r="C25" s="7" t="s">
        <v>7</v>
      </c>
      <c r="D25" s="7" t="s">
        <v>13</v>
      </c>
      <c r="E25" s="34"/>
      <c r="F25" s="34"/>
      <c r="G25" s="4">
        <f t="shared" si="0"/>
        <v>0</v>
      </c>
      <c r="L25" s="12">
        <f>AVERAGE(L19,L31)</f>
        <v>11.012055327375137</v>
      </c>
      <c r="M25" t="s">
        <v>76</v>
      </c>
    </row>
    <row r="26" spans="2:14" x14ac:dyDescent="0.2">
      <c r="B26" s="7">
        <v>2007</v>
      </c>
      <c r="C26" s="7" t="s">
        <v>7</v>
      </c>
      <c r="D26" s="7" t="s">
        <v>14</v>
      </c>
      <c r="E26" s="34"/>
      <c r="F26" s="34"/>
      <c r="G26" s="4">
        <f t="shared" si="0"/>
        <v>0</v>
      </c>
      <c r="M26" t="s">
        <v>76</v>
      </c>
    </row>
    <row r="27" spans="2:14" x14ac:dyDescent="0.2">
      <c r="B27" s="7">
        <v>2007</v>
      </c>
      <c r="C27" s="7" t="s">
        <v>7</v>
      </c>
      <c r="D27" s="7" t="s">
        <v>15</v>
      </c>
      <c r="E27" s="35"/>
      <c r="F27" s="34"/>
      <c r="G27" s="4">
        <f t="shared" si="0"/>
        <v>0</v>
      </c>
      <c r="M27" t="s">
        <v>78</v>
      </c>
    </row>
    <row r="28" spans="2:14" x14ac:dyDescent="0.2">
      <c r="B28" s="9">
        <v>2002</v>
      </c>
      <c r="C28" s="7" t="s">
        <v>7</v>
      </c>
      <c r="D28" s="7" t="s">
        <v>10</v>
      </c>
      <c r="E28" s="35"/>
      <c r="F28" s="34"/>
      <c r="G28" s="4">
        <f t="shared" si="0"/>
        <v>0</v>
      </c>
      <c r="N28" s="6" t="s">
        <v>74</v>
      </c>
    </row>
    <row r="29" spans="2:14" x14ac:dyDescent="0.2">
      <c r="B29" s="7">
        <v>2002</v>
      </c>
      <c r="C29" s="7" t="s">
        <v>7</v>
      </c>
      <c r="D29" s="7" t="s">
        <v>11</v>
      </c>
      <c r="E29" s="35"/>
      <c r="F29" s="34"/>
      <c r="G29" s="4">
        <f t="shared" si="0"/>
        <v>0</v>
      </c>
    </row>
    <row r="30" spans="2:14" x14ac:dyDescent="0.2">
      <c r="B30" s="7">
        <v>2002</v>
      </c>
      <c r="C30" s="7" t="s">
        <v>7</v>
      </c>
      <c r="D30" s="7" t="s">
        <v>12</v>
      </c>
      <c r="E30" s="35"/>
      <c r="F30" s="34"/>
      <c r="G30" s="4">
        <f t="shared" si="0"/>
        <v>0</v>
      </c>
    </row>
    <row r="31" spans="2:14" x14ac:dyDescent="0.2">
      <c r="B31" s="7">
        <v>2002</v>
      </c>
      <c r="C31" s="7" t="s">
        <v>7</v>
      </c>
      <c r="D31" s="7" t="s">
        <v>13</v>
      </c>
      <c r="E31" s="2">
        <v>235340</v>
      </c>
      <c r="F31" s="2">
        <v>184810</v>
      </c>
      <c r="G31" s="4">
        <f t="shared" si="0"/>
        <v>106748555.30658346</v>
      </c>
      <c r="H31" s="10">
        <v>9959</v>
      </c>
      <c r="I31" s="10">
        <f>H31*1000</f>
        <v>9959000</v>
      </c>
      <c r="J31" s="44">
        <f>G31/I31</f>
        <v>10.718802621406111</v>
      </c>
      <c r="K31" s="44">
        <f>J31*I31</f>
        <v>106748555.30658346</v>
      </c>
      <c r="L31" s="44">
        <f>SUM(K31:K32)/SUM(I31:I32)</f>
        <v>10.242671714982773</v>
      </c>
      <c r="M31" t="s">
        <v>76</v>
      </c>
    </row>
    <row r="32" spans="2:14" x14ac:dyDescent="0.2">
      <c r="B32" s="7">
        <v>2002</v>
      </c>
      <c r="C32" s="7" t="s">
        <v>7</v>
      </c>
      <c r="D32" s="7" t="s">
        <v>14</v>
      </c>
      <c r="E32" s="2">
        <v>756494</v>
      </c>
      <c r="F32" s="2">
        <v>579642</v>
      </c>
      <c r="G32" s="4">
        <f t="shared" si="0"/>
        <v>343140314.43060488</v>
      </c>
      <c r="H32" s="10">
        <v>33964</v>
      </c>
      <c r="I32" s="10">
        <f>H32*1000</f>
        <v>33964000</v>
      </c>
      <c r="J32" s="44">
        <f>G32/I32</f>
        <v>10.103059546302111</v>
      </c>
      <c r="K32" s="44">
        <f>J32*I32</f>
        <v>343140314.43060488</v>
      </c>
      <c r="L32" s="44"/>
      <c r="M32" t="s">
        <v>76</v>
      </c>
    </row>
    <row r="33" spans="2:26" x14ac:dyDescent="0.2">
      <c r="B33" s="7">
        <v>2002</v>
      </c>
      <c r="C33" s="7" t="s">
        <v>7</v>
      </c>
      <c r="D33" s="7" t="s">
        <v>15</v>
      </c>
      <c r="E33" s="35"/>
      <c r="F33" s="34"/>
      <c r="G33" s="4">
        <f t="shared" si="0"/>
        <v>0</v>
      </c>
    </row>
    <row r="34" spans="2:26" x14ac:dyDescent="0.2">
      <c r="P34">
        <v>262684725.71236768</v>
      </c>
    </row>
    <row r="36" spans="2:26" x14ac:dyDescent="0.2">
      <c r="V36">
        <v>2002</v>
      </c>
      <c r="W36">
        <v>2007</v>
      </c>
      <c r="X36">
        <v>2012</v>
      </c>
      <c r="Y36">
        <v>2017</v>
      </c>
      <c r="Z36">
        <v>2022</v>
      </c>
    </row>
    <row r="37" spans="2:26" x14ac:dyDescent="0.2">
      <c r="D37" t="s">
        <v>83</v>
      </c>
      <c r="E37" t="s">
        <v>13</v>
      </c>
      <c r="F37" t="s">
        <v>14</v>
      </c>
      <c r="G37" t="s">
        <v>80</v>
      </c>
      <c r="N37" t="s">
        <v>81</v>
      </c>
      <c r="O37" t="s">
        <v>13</v>
      </c>
      <c r="P37" t="s">
        <v>14</v>
      </c>
      <c r="Q37" t="s">
        <v>80</v>
      </c>
      <c r="S37" t="s">
        <v>84</v>
      </c>
      <c r="U37" s="7" t="s">
        <v>10</v>
      </c>
      <c r="V37">
        <v>233</v>
      </c>
      <c r="W37">
        <v>701</v>
      </c>
      <c r="X37">
        <v>778</v>
      </c>
      <c r="Y37">
        <v>233</v>
      </c>
      <c r="Z37">
        <v>1512</v>
      </c>
    </row>
    <row r="38" spans="2:26" x14ac:dyDescent="0.2">
      <c r="D38">
        <v>2022</v>
      </c>
      <c r="E38">
        <v>27.5</v>
      </c>
      <c r="F38" t="s">
        <v>82</v>
      </c>
      <c r="G38">
        <f t="shared" ref="G38:G42" si="1">AVERAGE(E38:F38)</f>
        <v>27.5</v>
      </c>
      <c r="N38">
        <v>2022</v>
      </c>
      <c r="O38">
        <f>F7/E7</f>
        <v>0.79391819646344886</v>
      </c>
      <c r="P38" t="s">
        <v>82</v>
      </c>
      <c r="Q38">
        <f>AVERAGE(O38:P38)</f>
        <v>0.79391819646344886</v>
      </c>
      <c r="S38">
        <f>G38*Q38/2.20462</f>
        <v>9.9031807761631683</v>
      </c>
      <c r="U38" s="7" t="s">
        <v>11</v>
      </c>
      <c r="V38">
        <v>108550</v>
      </c>
      <c r="W38">
        <v>223233</v>
      </c>
      <c r="X38">
        <v>77375</v>
      </c>
      <c r="Y38">
        <v>54875</v>
      </c>
      <c r="Z38">
        <v>100789</v>
      </c>
    </row>
    <row r="39" spans="2:26" x14ac:dyDescent="0.2">
      <c r="D39">
        <v>2017</v>
      </c>
      <c r="E39">
        <v>28.5</v>
      </c>
      <c r="F39">
        <v>27.4</v>
      </c>
      <c r="G39">
        <f t="shared" si="1"/>
        <v>27.95</v>
      </c>
      <c r="N39">
        <v>2017</v>
      </c>
      <c r="O39">
        <f>F13/E13</f>
        <v>0.79414248174757418</v>
      </c>
      <c r="P39">
        <f>F14/E14</f>
        <v>0.80899406605486068</v>
      </c>
      <c r="Q39">
        <f t="shared" ref="Q39:Q40" si="2">AVERAGE(O39:P39)</f>
        <v>0.80156827390121743</v>
      </c>
      <c r="S39">
        <f>G39*Q39/2.20462</f>
        <v>10.162219908890888</v>
      </c>
      <c r="U39" s="7" t="s">
        <v>12</v>
      </c>
      <c r="V39">
        <v>0</v>
      </c>
      <c r="W39">
        <v>99333</v>
      </c>
      <c r="X39">
        <v>143473</v>
      </c>
      <c r="Y39">
        <v>223372</v>
      </c>
      <c r="Z39">
        <v>0</v>
      </c>
    </row>
    <row r="40" spans="2:26" x14ac:dyDescent="0.2">
      <c r="D40">
        <v>2012</v>
      </c>
      <c r="E40">
        <v>24.2</v>
      </c>
      <c r="F40">
        <v>26.4</v>
      </c>
      <c r="G40">
        <f>AVERAGE(E40:F40)</f>
        <v>25.299999999999997</v>
      </c>
      <c r="N40">
        <v>2012</v>
      </c>
      <c r="O40">
        <f>F19/E19</f>
        <v>0.79008484877093188</v>
      </c>
      <c r="P40">
        <f>F20/E20</f>
        <v>0.80347740670702184</v>
      </c>
      <c r="Q40">
        <f t="shared" si="2"/>
        <v>0.79678112773897691</v>
      </c>
      <c r="S40">
        <f>G40*Q40/2.20462</f>
        <v>9.143781028837676</v>
      </c>
      <c r="U40" s="7" t="s">
        <v>13</v>
      </c>
      <c r="V40">
        <v>3622802</v>
      </c>
      <c r="W40">
        <v>3537517</v>
      </c>
      <c r="X40">
        <v>2955993</v>
      </c>
      <c r="Y40">
        <v>3098598</v>
      </c>
      <c r="Z40">
        <v>2721982</v>
      </c>
    </row>
    <row r="41" spans="2:26" x14ac:dyDescent="0.2">
      <c r="D41">
        <v>2007</v>
      </c>
      <c r="E41" t="s">
        <v>82</v>
      </c>
      <c r="F41" t="s">
        <v>82</v>
      </c>
      <c r="G41">
        <f>AVERAGE(G40,G42)</f>
        <v>24.125</v>
      </c>
      <c r="N41">
        <v>2007</v>
      </c>
      <c r="O41" t="s">
        <v>82</v>
      </c>
      <c r="P41" t="s">
        <v>82</v>
      </c>
      <c r="Q41">
        <f>AVERAGE(Q40,Q42)</f>
        <v>0.78626829177921409</v>
      </c>
      <c r="S41">
        <f>G41*Q41/2.20462</f>
        <v>8.6040780448211223</v>
      </c>
      <c r="U41" s="7" t="s">
        <v>14</v>
      </c>
      <c r="V41">
        <v>7272456</v>
      </c>
      <c r="W41">
        <v>6330958</v>
      </c>
      <c r="X41">
        <v>5160805</v>
      </c>
      <c r="Y41">
        <v>5738768</v>
      </c>
      <c r="Z41">
        <v>5573523</v>
      </c>
    </row>
    <row r="42" spans="2:26" x14ac:dyDescent="0.2">
      <c r="D42">
        <v>2002</v>
      </c>
      <c r="E42">
        <v>23.63</v>
      </c>
      <c r="F42">
        <v>22.27</v>
      </c>
      <c r="G42">
        <f t="shared" si="1"/>
        <v>22.95</v>
      </c>
      <c r="N42">
        <v>2002</v>
      </c>
      <c r="O42">
        <f>F31/E31</f>
        <v>0.78528936857312825</v>
      </c>
      <c r="P42">
        <f>F32/E32</f>
        <v>0.7662215430657745</v>
      </c>
      <c r="Q42">
        <f>AVERAGE(O42:P42)</f>
        <v>0.77575545581945138</v>
      </c>
      <c r="S42">
        <f>G42*Q42/2.20462</f>
        <v>8.075581148250679</v>
      </c>
      <c r="U42" s="7" t="s">
        <v>15</v>
      </c>
      <c r="V42">
        <v>1429776</v>
      </c>
      <c r="W42">
        <v>1641120</v>
      </c>
      <c r="X42">
        <v>1817308</v>
      </c>
      <c r="Y42">
        <v>1454873</v>
      </c>
      <c r="Z42">
        <v>1243827</v>
      </c>
    </row>
    <row r="45" spans="2:26" x14ac:dyDescent="0.2">
      <c r="B45" s="14" t="s">
        <v>39</v>
      </c>
      <c r="C45" t="s">
        <v>79</v>
      </c>
    </row>
    <row r="46" spans="2:26" x14ac:dyDescent="0.2">
      <c r="B46" s="15">
        <v>2002</v>
      </c>
      <c r="C46" s="4">
        <v>359174764.85976505</v>
      </c>
    </row>
    <row r="47" spans="2:26" x14ac:dyDescent="0.2">
      <c r="B47" s="15">
        <v>2007</v>
      </c>
      <c r="C47" s="4">
        <v>101810868.14159817</v>
      </c>
    </row>
    <row r="48" spans="2:26" x14ac:dyDescent="0.2">
      <c r="B48" s="15">
        <v>2012</v>
      </c>
      <c r="C48" s="4">
        <v>342065289.49987084</v>
      </c>
    </row>
    <row r="49" spans="2:3" x14ac:dyDescent="0.2">
      <c r="B49" s="15">
        <v>2017</v>
      </c>
      <c r="C49" s="4">
        <v>385652290.00235343</v>
      </c>
    </row>
    <row r="50" spans="2:3" x14ac:dyDescent="0.2">
      <c r="B50" s="15">
        <v>2022</v>
      </c>
      <c r="C50" s="4">
        <v>144306054.17582339</v>
      </c>
    </row>
    <row r="51" spans="2:3" x14ac:dyDescent="0.2">
      <c r="B51" s="15" t="s">
        <v>40</v>
      </c>
      <c r="C51">
        <v>1333009266.6794109</v>
      </c>
    </row>
  </sheetData>
  <autoFilter ref="B3:Z33" xr:uid="{AFCBC53B-95AC-534C-ACFA-672E53D84475}"/>
  <hyperlinks>
    <hyperlink ref="N4" r:id="rId2" xr:uid="{F24637C2-A1AF-E042-952E-7D1F6BA30B30}"/>
    <hyperlink ref="N10" r:id="rId3" xr:uid="{1AC6CB9D-4053-6E48-8AB8-C3880322E0E4}"/>
    <hyperlink ref="N16" r:id="rId4" xr:uid="{CD08F5FF-7B3D-1946-A030-A2E9F213D6E4}"/>
    <hyperlink ref="N22" r:id="rId5" xr:uid="{6F11D9AD-332D-2447-873C-5505E5C798A7}"/>
    <hyperlink ref="N28" r:id="rId6" xr:uid="{1018ED68-CFF5-0B4C-9940-01E4B3E11FD7}"/>
  </hyperlinks>
  <pageMargins left="0.7" right="0.7" top="0.75" bottom="0.75" header="0.3" footer="0.3"/>
  <legacy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656A-E4D4-444F-AECB-881921972FE7}">
  <dimension ref="A1:B8"/>
  <sheetViews>
    <sheetView workbookViewId="0">
      <selection activeCell="D5" sqref="D5"/>
    </sheetView>
  </sheetViews>
  <sheetFormatPr baseColWidth="10" defaultRowHeight="16" x14ac:dyDescent="0.2"/>
  <sheetData>
    <row r="1" spans="1:2" x14ac:dyDescent="0.2">
      <c r="A1" t="s">
        <v>24</v>
      </c>
      <c r="B1" t="s">
        <v>16</v>
      </c>
    </row>
    <row r="2" spans="1:2" x14ac:dyDescent="0.2">
      <c r="A2" s="7">
        <v>2022</v>
      </c>
      <c r="B2" s="44">
        <v>12.468975770797009</v>
      </c>
    </row>
    <row r="3" spans="1:2" x14ac:dyDescent="0.2">
      <c r="A3" s="7">
        <v>2017</v>
      </c>
      <c r="B3" s="44">
        <v>12.936296513464553</v>
      </c>
    </row>
    <row r="4" spans="1:2" x14ac:dyDescent="0.2">
      <c r="A4" s="7">
        <v>2017</v>
      </c>
      <c r="B4" s="44">
        <v>12.443114644082423</v>
      </c>
    </row>
    <row r="5" spans="1:2" x14ac:dyDescent="0.2">
      <c r="A5" s="7">
        <v>2012</v>
      </c>
      <c r="B5" s="44">
        <v>10.961645387898669</v>
      </c>
    </row>
    <row r="6" spans="1:2" x14ac:dyDescent="0.2">
      <c r="A6" s="7">
        <v>2012</v>
      </c>
      <c r="B6" s="44">
        <v>11.992326335382502</v>
      </c>
    </row>
    <row r="7" spans="1:2" x14ac:dyDescent="0.2">
      <c r="A7" s="7">
        <v>2002</v>
      </c>
      <c r="B7" s="44">
        <v>10.718802621406111</v>
      </c>
    </row>
    <row r="8" spans="1:2" x14ac:dyDescent="0.2">
      <c r="A8" s="7">
        <v>2002</v>
      </c>
      <c r="B8" s="44">
        <v>10.103059546302111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9276-D39A-5B42-BF1A-55725C93D7F1}">
  <dimension ref="A4:F11"/>
  <sheetViews>
    <sheetView workbookViewId="0">
      <selection activeCell="M35" sqref="M35"/>
    </sheetView>
  </sheetViews>
  <sheetFormatPr baseColWidth="10" defaultRowHeight="16" x14ac:dyDescent="0.2"/>
  <cols>
    <col min="1" max="1" width="24.1640625" bestFit="1" customWidth="1"/>
    <col min="2" max="6" width="15" bestFit="1" customWidth="1"/>
  </cols>
  <sheetData>
    <row r="4" spans="1:6" x14ac:dyDescent="0.2">
      <c r="A4" t="s">
        <v>102</v>
      </c>
      <c r="B4">
        <v>2002</v>
      </c>
      <c r="C4">
        <v>2007</v>
      </c>
      <c r="D4">
        <v>2012</v>
      </c>
      <c r="E4">
        <v>2017</v>
      </c>
      <c r="F4">
        <v>2022</v>
      </c>
    </row>
    <row r="5" spans="1:6" x14ac:dyDescent="0.2">
      <c r="A5" t="s">
        <v>103</v>
      </c>
      <c r="B5" s="27">
        <v>17207291</v>
      </c>
      <c r="C5" s="27">
        <v>17478361</v>
      </c>
      <c r="D5" s="27">
        <v>19748152</v>
      </c>
      <c r="E5" s="27">
        <v>19337041</v>
      </c>
      <c r="F5" s="27">
        <v>20377922</v>
      </c>
    </row>
    <row r="6" spans="1:6" x14ac:dyDescent="0.2">
      <c r="A6" t="s">
        <v>104</v>
      </c>
      <c r="B6" s="27">
        <v>324142487</v>
      </c>
      <c r="C6" s="27">
        <v>327368648</v>
      </c>
      <c r="D6" s="27">
        <v>362230135</v>
      </c>
      <c r="E6" s="27">
        <v>380882215</v>
      </c>
      <c r="F6" s="27">
        <v>355554156</v>
      </c>
    </row>
    <row r="7" spans="1:6" x14ac:dyDescent="0.2">
      <c r="A7" t="s">
        <v>105</v>
      </c>
      <c r="B7" s="27">
        <v>201121569</v>
      </c>
      <c r="C7" s="27">
        <v>184628291</v>
      </c>
      <c r="D7" s="27">
        <v>173426384</v>
      </c>
      <c r="E7" s="27">
        <v>170707915</v>
      </c>
      <c r="F7" s="27">
        <v>158904232</v>
      </c>
    </row>
    <row r="8" spans="1:6" x14ac:dyDescent="0.2">
      <c r="A8" t="s">
        <v>106</v>
      </c>
      <c r="B8" s="4">
        <f>SUM(B5:B7)</f>
        <v>542471347</v>
      </c>
      <c r="C8" s="4">
        <f>SUM(C5:C7)</f>
        <v>529475300</v>
      </c>
      <c r="D8" s="4">
        <f>SUM(D5:D7)</f>
        <v>555404671</v>
      </c>
      <c r="E8" s="4">
        <f>SUM(E5:E7)</f>
        <v>570927171</v>
      </c>
      <c r="F8" s="4">
        <f>SUM(F5:F7)</f>
        <v>534836310</v>
      </c>
    </row>
    <row r="9" spans="1:6" x14ac:dyDescent="0.2">
      <c r="A9" t="s">
        <v>103</v>
      </c>
      <c r="B9" s="42">
        <f t="shared" ref="B9:F11" si="0">B5/SUM(B$5:B$7)</f>
        <v>3.1720184107714725E-2</v>
      </c>
      <c r="C9" s="42">
        <f t="shared" si="0"/>
        <v>3.3010720235674827E-2</v>
      </c>
      <c r="D9" s="42">
        <f t="shared" si="0"/>
        <v>3.5556330422003242E-2</v>
      </c>
      <c r="E9" s="42">
        <f t="shared" si="0"/>
        <v>3.3869540603804961E-2</v>
      </c>
      <c r="F9" s="42">
        <f t="shared" si="0"/>
        <v>3.8101231384234178E-2</v>
      </c>
    </row>
    <row r="10" spans="1:6" x14ac:dyDescent="0.2">
      <c r="A10" t="s">
        <v>104</v>
      </c>
      <c r="B10" s="42">
        <f t="shared" si="0"/>
        <v>0.59752923134574332</v>
      </c>
      <c r="C10" s="42">
        <f t="shared" si="0"/>
        <v>0.61828880025187194</v>
      </c>
      <c r="D10" s="42">
        <f t="shared" si="0"/>
        <v>0.65219137308983854</v>
      </c>
      <c r="E10" s="42">
        <f t="shared" si="0"/>
        <v>0.66712924931015416</v>
      </c>
      <c r="F10" s="42">
        <f t="shared" si="0"/>
        <v>0.66479060855086669</v>
      </c>
    </row>
    <row r="11" spans="1:6" x14ac:dyDescent="0.2">
      <c r="A11" t="s">
        <v>105</v>
      </c>
      <c r="B11" s="42">
        <f t="shared" si="0"/>
        <v>0.37075058454654197</v>
      </c>
      <c r="C11" s="42">
        <f t="shared" si="0"/>
        <v>0.3487004795124532</v>
      </c>
      <c r="D11" s="42">
        <f t="shared" si="0"/>
        <v>0.31225229648815828</v>
      </c>
      <c r="E11" s="42">
        <f t="shared" si="0"/>
        <v>0.29900121008604091</v>
      </c>
      <c r="F11" s="42">
        <f t="shared" si="0"/>
        <v>0.2971081600648991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5815-B8F5-B445-A256-F2429DD10323}">
  <sheetPr filterMode="1"/>
  <dimension ref="B2:I33"/>
  <sheetViews>
    <sheetView workbookViewId="0">
      <selection activeCell="K6" sqref="K6"/>
    </sheetView>
  </sheetViews>
  <sheetFormatPr baseColWidth="10" defaultRowHeight="16" x14ac:dyDescent="0.2"/>
  <sheetData>
    <row r="2" spans="2:9" x14ac:dyDescent="0.2">
      <c r="B2" s="46"/>
      <c r="C2" s="46" t="s">
        <v>130</v>
      </c>
      <c r="D2" s="46" t="s">
        <v>131</v>
      </c>
      <c r="E2" s="46" t="s">
        <v>132</v>
      </c>
      <c r="H2" s="46" t="s">
        <v>1</v>
      </c>
      <c r="I2">
        <v>2.6</v>
      </c>
    </row>
    <row r="3" spans="2:9" hidden="1" x14ac:dyDescent="0.2">
      <c r="B3" s="46">
        <v>1</v>
      </c>
      <c r="C3" s="57">
        <v>2002</v>
      </c>
      <c r="D3" s="57" t="s">
        <v>114</v>
      </c>
      <c r="E3" s="57">
        <v>10.0738749</v>
      </c>
    </row>
    <row r="4" spans="2:9" x14ac:dyDescent="0.2">
      <c r="B4" s="46">
        <v>2</v>
      </c>
      <c r="C4" s="57">
        <v>2002</v>
      </c>
      <c r="D4" s="57" t="s">
        <v>116</v>
      </c>
      <c r="E4" s="57">
        <v>0.75040090000000004</v>
      </c>
      <c r="H4" t="s">
        <v>136</v>
      </c>
      <c r="I4" s="58">
        <f>AVERAGE(E4:E8)</f>
        <v>0.67046788000000002</v>
      </c>
    </row>
    <row r="5" spans="2:9" x14ac:dyDescent="0.2">
      <c r="B5" s="46">
        <v>3</v>
      </c>
      <c r="C5" s="57">
        <v>2007</v>
      </c>
      <c r="D5" s="57" t="s">
        <v>116</v>
      </c>
      <c r="E5" s="57">
        <v>0.71671989999999997</v>
      </c>
      <c r="H5" s="57" t="s">
        <v>0</v>
      </c>
      <c r="I5" s="58">
        <f>AVERAGE(E10:E14)</f>
        <v>1.3423977399999998</v>
      </c>
    </row>
    <row r="6" spans="2:9" x14ac:dyDescent="0.2">
      <c r="B6" s="46">
        <v>4</v>
      </c>
      <c r="C6" s="57">
        <v>2012</v>
      </c>
      <c r="D6" s="57" t="s">
        <v>116</v>
      </c>
      <c r="E6" s="57">
        <v>0.69760730000000004</v>
      </c>
      <c r="H6" s="57" t="s">
        <v>42</v>
      </c>
      <c r="I6" s="58">
        <f>AVERAGE(E15:E20)</f>
        <v>3.0528672500000003</v>
      </c>
    </row>
    <row r="7" spans="2:9" x14ac:dyDescent="0.2">
      <c r="B7" s="46">
        <v>5</v>
      </c>
      <c r="C7" s="57">
        <v>2017</v>
      </c>
      <c r="D7" s="57" t="s">
        <v>116</v>
      </c>
      <c r="E7" s="57">
        <v>0.61538230000000005</v>
      </c>
      <c r="H7" s="57" t="s">
        <v>99</v>
      </c>
      <c r="I7" s="58">
        <f>AVERAGE(E21:E26)</f>
        <v>3.9028316000000003</v>
      </c>
    </row>
    <row r="8" spans="2:9" x14ac:dyDescent="0.2">
      <c r="B8" s="46">
        <v>6</v>
      </c>
      <c r="C8" s="57">
        <v>2022</v>
      </c>
      <c r="D8" s="57" t="s">
        <v>116</v>
      </c>
      <c r="E8" s="57">
        <v>0.57222899999999999</v>
      </c>
      <c r="H8" s="57" t="s">
        <v>7</v>
      </c>
      <c r="I8" s="58">
        <f>AVERAGE(E27:E32)</f>
        <v>3.0818032666666668</v>
      </c>
    </row>
    <row r="9" spans="2:9" hidden="1" x14ac:dyDescent="0.2">
      <c r="B9" s="46">
        <v>7</v>
      </c>
      <c r="C9" s="57">
        <v>2007</v>
      </c>
      <c r="D9" s="57" t="s">
        <v>114</v>
      </c>
      <c r="E9" s="57">
        <v>12.0263563</v>
      </c>
    </row>
    <row r="10" spans="2:9" x14ac:dyDescent="0.2">
      <c r="B10" s="46">
        <v>8</v>
      </c>
      <c r="C10" s="57">
        <v>2002</v>
      </c>
      <c r="D10" s="57" t="s">
        <v>133</v>
      </c>
      <c r="E10" s="57">
        <v>1.5998665000000001</v>
      </c>
    </row>
    <row r="11" spans="2:9" x14ac:dyDescent="0.2">
      <c r="B11" s="46">
        <v>9</v>
      </c>
      <c r="C11" s="57">
        <v>2007</v>
      </c>
      <c r="D11" s="57" t="s">
        <v>133</v>
      </c>
      <c r="E11" s="57">
        <v>1.5345405999999999</v>
      </c>
    </row>
    <row r="12" spans="2:9" x14ac:dyDescent="0.2">
      <c r="B12" s="46">
        <v>10</v>
      </c>
      <c r="C12" s="57">
        <v>2012</v>
      </c>
      <c r="D12" s="57" t="s">
        <v>133</v>
      </c>
      <c r="E12" s="57">
        <v>1.3179432</v>
      </c>
    </row>
    <row r="13" spans="2:9" x14ac:dyDescent="0.2">
      <c r="B13" s="46">
        <v>11</v>
      </c>
      <c r="C13" s="57">
        <v>2017</v>
      </c>
      <c r="D13" s="57" t="s">
        <v>133</v>
      </c>
      <c r="E13" s="57">
        <v>1.1431187</v>
      </c>
    </row>
    <row r="14" spans="2:9" x14ac:dyDescent="0.2">
      <c r="B14" s="46">
        <v>12</v>
      </c>
      <c r="C14" s="57">
        <v>2022</v>
      </c>
      <c r="D14" s="57" t="s">
        <v>133</v>
      </c>
      <c r="E14" s="57">
        <v>1.1165197</v>
      </c>
    </row>
    <row r="15" spans="2:9" hidden="1" x14ac:dyDescent="0.2">
      <c r="B15" s="46">
        <v>13</v>
      </c>
      <c r="C15" s="57">
        <v>2012</v>
      </c>
      <c r="D15" s="57" t="s">
        <v>114</v>
      </c>
      <c r="E15" s="57">
        <v>15.232991</v>
      </c>
    </row>
    <row r="16" spans="2:9" x14ac:dyDescent="0.2">
      <c r="B16" s="46">
        <v>14</v>
      </c>
      <c r="C16" s="57">
        <v>2002</v>
      </c>
      <c r="D16" s="57" t="s">
        <v>115</v>
      </c>
      <c r="E16" s="57">
        <v>0.65250330000000001</v>
      </c>
    </row>
    <row r="17" spans="2:5" x14ac:dyDescent="0.2">
      <c r="B17" s="46">
        <v>15</v>
      </c>
      <c r="C17" s="57">
        <v>2007</v>
      </c>
      <c r="D17" s="57" t="s">
        <v>115</v>
      </c>
      <c r="E17" s="57">
        <v>0.65418980000000004</v>
      </c>
    </row>
    <row r="18" spans="2:5" x14ac:dyDescent="0.2">
      <c r="B18" s="46">
        <v>16</v>
      </c>
      <c r="C18" s="57">
        <v>2012</v>
      </c>
      <c r="D18" s="57" t="s">
        <v>115</v>
      </c>
      <c r="E18" s="57">
        <v>0.64808619999999995</v>
      </c>
    </row>
    <row r="19" spans="2:5" x14ac:dyDescent="0.2">
      <c r="B19" s="46">
        <v>17</v>
      </c>
      <c r="C19" s="57">
        <v>2017</v>
      </c>
      <c r="D19" s="57" t="s">
        <v>115</v>
      </c>
      <c r="E19" s="57">
        <v>0.57361799999999996</v>
      </c>
    </row>
    <row r="20" spans="2:5" x14ac:dyDescent="0.2">
      <c r="B20" s="46">
        <v>18</v>
      </c>
      <c r="C20" s="57">
        <v>2022</v>
      </c>
      <c r="D20" s="57" t="s">
        <v>115</v>
      </c>
      <c r="E20" s="57">
        <v>0.55581519999999995</v>
      </c>
    </row>
    <row r="21" spans="2:5" hidden="1" x14ac:dyDescent="0.2">
      <c r="B21" s="46">
        <v>19</v>
      </c>
      <c r="C21" s="57">
        <v>2017</v>
      </c>
      <c r="D21" s="57" t="s">
        <v>114</v>
      </c>
      <c r="E21" s="57">
        <v>15.452746400000001</v>
      </c>
    </row>
    <row r="22" spans="2:5" x14ac:dyDescent="0.2">
      <c r="B22" s="46">
        <v>20</v>
      </c>
      <c r="C22" s="57">
        <v>2002</v>
      </c>
      <c r="D22" s="57" t="s">
        <v>134</v>
      </c>
      <c r="E22" s="57">
        <v>1.7189380999999999</v>
      </c>
    </row>
    <row r="23" spans="2:5" x14ac:dyDescent="0.2">
      <c r="B23" s="46">
        <v>21</v>
      </c>
      <c r="C23" s="57">
        <v>2007</v>
      </c>
      <c r="D23" s="57" t="s">
        <v>134</v>
      </c>
      <c r="E23" s="57">
        <v>1.7604751999999999</v>
      </c>
    </row>
    <row r="24" spans="2:5" x14ac:dyDescent="0.2">
      <c r="B24" s="46">
        <v>22</v>
      </c>
      <c r="C24" s="57">
        <v>2012</v>
      </c>
      <c r="D24" s="57" t="s">
        <v>134</v>
      </c>
      <c r="E24" s="57">
        <v>1.6198436000000001</v>
      </c>
    </row>
    <row r="25" spans="2:5" x14ac:dyDescent="0.2">
      <c r="B25" s="46">
        <v>23</v>
      </c>
      <c r="C25" s="57">
        <v>2017</v>
      </c>
      <c r="D25" s="57" t="s">
        <v>134</v>
      </c>
      <c r="E25" s="57">
        <v>1.3976632</v>
      </c>
    </row>
    <row r="26" spans="2:5" x14ac:dyDescent="0.2">
      <c r="B26" s="46">
        <v>24</v>
      </c>
      <c r="C26" s="57">
        <v>2022</v>
      </c>
      <c r="D26" s="57" t="s">
        <v>134</v>
      </c>
      <c r="E26" s="57">
        <v>1.4673231</v>
      </c>
    </row>
    <row r="27" spans="2:5" hidden="1" x14ac:dyDescent="0.2">
      <c r="B27" s="46">
        <v>25</v>
      </c>
      <c r="C27" s="57">
        <v>2022</v>
      </c>
      <c r="D27" s="57" t="s">
        <v>114</v>
      </c>
      <c r="E27" s="57">
        <v>15.0586108</v>
      </c>
    </row>
    <row r="28" spans="2:5" x14ac:dyDescent="0.2">
      <c r="B28" s="46">
        <v>26</v>
      </c>
      <c r="C28" s="57">
        <v>2002</v>
      </c>
      <c r="D28" s="57" t="s">
        <v>117</v>
      </c>
      <c r="E28" s="57">
        <v>0.79421759999999997</v>
      </c>
    </row>
    <row r="29" spans="2:5" x14ac:dyDescent="0.2">
      <c r="B29" s="46">
        <v>27</v>
      </c>
      <c r="C29" s="57">
        <v>2007</v>
      </c>
      <c r="D29" s="57" t="s">
        <v>117</v>
      </c>
      <c r="E29" s="57">
        <v>0.74924769999999996</v>
      </c>
    </row>
    <row r="30" spans="2:5" x14ac:dyDescent="0.2">
      <c r="B30" s="46">
        <v>28</v>
      </c>
      <c r="C30" s="57">
        <v>2012</v>
      </c>
      <c r="D30" s="57" t="s">
        <v>117</v>
      </c>
      <c r="E30" s="57">
        <v>0.66159570000000001</v>
      </c>
    </row>
    <row r="31" spans="2:5" x14ac:dyDescent="0.2">
      <c r="B31" s="46">
        <v>29</v>
      </c>
      <c r="C31" s="57">
        <v>2017</v>
      </c>
      <c r="D31" s="57" t="s">
        <v>117</v>
      </c>
      <c r="E31" s="57">
        <v>0.61581909999999995</v>
      </c>
    </row>
    <row r="32" spans="2:5" x14ac:dyDescent="0.2">
      <c r="B32" s="46">
        <v>30</v>
      </c>
      <c r="C32" s="57">
        <v>2022</v>
      </c>
      <c r="D32" s="57" t="s">
        <v>117</v>
      </c>
      <c r="E32" s="57">
        <v>0.61132869999999995</v>
      </c>
    </row>
    <row r="33" spans="2:2" x14ac:dyDescent="0.2">
      <c r="B33" s="47" t="s">
        <v>135</v>
      </c>
    </row>
  </sheetData>
  <autoFilter ref="C2:E33" xr:uid="{4BB85815-B8F5-B445-A256-F2429DD10323}">
    <filterColumn colId="1">
      <filters blank="1">
        <filter val="broilers"/>
        <filter val="dairy"/>
        <filter val="layers"/>
        <filter val="swine"/>
        <filter val="turkey"/>
      </filters>
    </filterColumn>
    <sortState xmlns:xlrd2="http://schemas.microsoft.com/office/spreadsheetml/2017/richdata2" ref="C4:E33">
      <sortCondition ref="D2:D33"/>
    </sortState>
  </autoFilter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B898-6AEB-CF41-A3A0-0E2578B40FF0}">
  <dimension ref="A1:AB35"/>
  <sheetViews>
    <sheetView topLeftCell="I1" zoomScale="137" workbookViewId="0">
      <selection activeCell="G5" sqref="G5"/>
    </sheetView>
  </sheetViews>
  <sheetFormatPr baseColWidth="10" defaultRowHeight="16" x14ac:dyDescent="0.2"/>
  <cols>
    <col min="7" max="7" width="13" bestFit="1" customWidth="1"/>
    <col min="8" max="8" width="20.5" bestFit="1" customWidth="1"/>
    <col min="9" max="9" width="28.6640625" bestFit="1" customWidth="1"/>
    <col min="10" max="10" width="35.5" bestFit="1" customWidth="1"/>
    <col min="11" max="11" width="20.5" bestFit="1" customWidth="1"/>
    <col min="12" max="12" width="28.6640625" bestFit="1" customWidth="1"/>
    <col min="13" max="13" width="35.5" bestFit="1" customWidth="1"/>
    <col min="14" max="14" width="20.5" bestFit="1" customWidth="1"/>
    <col min="15" max="15" width="28.6640625" bestFit="1" customWidth="1"/>
    <col min="16" max="16" width="35.5" bestFit="1" customWidth="1"/>
    <col min="17" max="17" width="20.5" bestFit="1" customWidth="1"/>
    <col min="18" max="18" width="28.6640625" bestFit="1" customWidth="1"/>
    <col min="19" max="19" width="35.5" bestFit="1" customWidth="1"/>
    <col min="20" max="20" width="20.5" bestFit="1" customWidth="1"/>
    <col min="21" max="21" width="28.6640625" bestFit="1" customWidth="1"/>
    <col min="22" max="22" width="35.5" bestFit="1" customWidth="1"/>
    <col min="23" max="23" width="20.5" bestFit="1" customWidth="1"/>
    <col min="24" max="24" width="28.6640625" bestFit="1" customWidth="1"/>
    <col min="25" max="25" width="35.5" bestFit="1" customWidth="1"/>
    <col min="26" max="26" width="25" bestFit="1" customWidth="1"/>
    <col min="27" max="27" width="33.1640625" bestFit="1" customWidth="1"/>
    <col min="28" max="28" width="40" bestFit="1" customWidth="1"/>
  </cols>
  <sheetData>
    <row r="1" spans="1:28" x14ac:dyDescent="0.2">
      <c r="A1" s="16" t="s">
        <v>24</v>
      </c>
      <c r="B1" s="16" t="s">
        <v>9</v>
      </c>
      <c r="C1" s="16" t="s">
        <v>51</v>
      </c>
      <c r="D1" s="16" t="s">
        <v>52</v>
      </c>
      <c r="E1" s="16" t="s">
        <v>53</v>
      </c>
    </row>
    <row r="2" spans="1:28" x14ac:dyDescent="0.2">
      <c r="A2" s="28">
        <v>2002</v>
      </c>
      <c r="B2" t="s">
        <v>10</v>
      </c>
      <c r="C2" s="4">
        <v>7.8781567636669472</v>
      </c>
      <c r="D2">
        <v>8.9480000000000004</v>
      </c>
      <c r="E2">
        <v>8.8043772504100897</v>
      </c>
    </row>
    <row r="3" spans="1:28" x14ac:dyDescent="0.2">
      <c r="A3" s="28">
        <v>2002</v>
      </c>
      <c r="B3" t="s">
        <v>11</v>
      </c>
      <c r="C3" s="4">
        <v>64.646588003364172</v>
      </c>
      <c r="D3">
        <v>72.763999999999996</v>
      </c>
      <c r="E3">
        <v>8.8844192187571007</v>
      </c>
    </row>
    <row r="4" spans="1:28" x14ac:dyDescent="0.2">
      <c r="A4" s="28">
        <v>2002</v>
      </c>
      <c r="B4" t="s">
        <v>12</v>
      </c>
      <c r="C4" s="4">
        <v>595.46634553406216</v>
      </c>
      <c r="D4">
        <v>670.00300000000004</v>
      </c>
      <c r="E4">
        <v>8.8875176011758477</v>
      </c>
    </row>
    <row r="5" spans="1:28" x14ac:dyDescent="0.2">
      <c r="A5" s="28">
        <v>2002</v>
      </c>
      <c r="B5" t="s">
        <v>13</v>
      </c>
      <c r="C5" s="4">
        <v>531.79446531875521</v>
      </c>
      <c r="D5">
        <v>591.53099999999995</v>
      </c>
      <c r="E5">
        <v>8.990136870574073</v>
      </c>
      <c r="H5" s="14" t="s">
        <v>57</v>
      </c>
    </row>
    <row r="6" spans="1:28" x14ac:dyDescent="0.2">
      <c r="A6" s="28">
        <v>2002</v>
      </c>
      <c r="B6" t="s">
        <v>14</v>
      </c>
      <c r="C6" s="4">
        <v>105.06319931370899</v>
      </c>
      <c r="D6">
        <v>114.724</v>
      </c>
      <c r="E6">
        <v>9.1579093575632822</v>
      </c>
      <c r="H6" t="s">
        <v>10</v>
      </c>
      <c r="K6" t="s">
        <v>11</v>
      </c>
      <c r="N6" t="s">
        <v>12</v>
      </c>
      <c r="Q6" t="s">
        <v>13</v>
      </c>
      <c r="T6" t="s">
        <v>14</v>
      </c>
      <c r="W6" t="s">
        <v>15</v>
      </c>
      <c r="Z6" t="s">
        <v>58</v>
      </c>
      <c r="AA6" t="s">
        <v>59</v>
      </c>
      <c r="AB6" t="s">
        <v>60</v>
      </c>
    </row>
    <row r="7" spans="1:28" x14ac:dyDescent="0.2">
      <c r="A7" s="28">
        <v>2002</v>
      </c>
      <c r="B7" t="s">
        <v>15</v>
      </c>
      <c r="C7" s="4">
        <v>12.284751542472666</v>
      </c>
      <c r="D7">
        <v>14.972</v>
      </c>
      <c r="E7">
        <v>8.2051506428484284</v>
      </c>
      <c r="G7" s="14" t="s">
        <v>39</v>
      </c>
      <c r="H7" t="s">
        <v>54</v>
      </c>
      <c r="I7" t="s">
        <v>55</v>
      </c>
      <c r="J7" t="s">
        <v>56</v>
      </c>
      <c r="K7" t="s">
        <v>54</v>
      </c>
      <c r="L7" t="s">
        <v>55</v>
      </c>
      <c r="M7" t="s">
        <v>56</v>
      </c>
      <c r="N7" t="s">
        <v>54</v>
      </c>
      <c r="O7" t="s">
        <v>55</v>
      </c>
      <c r="P7" t="s">
        <v>56</v>
      </c>
      <c r="Q7" t="s">
        <v>54</v>
      </c>
      <c r="R7" t="s">
        <v>55</v>
      </c>
      <c r="S7" t="s">
        <v>56</v>
      </c>
      <c r="T7" t="s">
        <v>54</v>
      </c>
      <c r="U7" t="s">
        <v>55</v>
      </c>
      <c r="V7" t="s">
        <v>56</v>
      </c>
      <c r="W7" t="s">
        <v>54</v>
      </c>
      <c r="X7" t="s">
        <v>55</v>
      </c>
      <c r="Y7" t="s">
        <v>56</v>
      </c>
    </row>
    <row r="8" spans="1:28" x14ac:dyDescent="0.2">
      <c r="A8" s="28">
        <v>2007</v>
      </c>
      <c r="B8" t="s">
        <v>10</v>
      </c>
      <c r="C8" s="4">
        <v>5.1786279074658257</v>
      </c>
      <c r="D8">
        <v>6.5259999999999998</v>
      </c>
      <c r="E8">
        <v>7.9353783442626815</v>
      </c>
      <c r="G8" s="15">
        <v>2002</v>
      </c>
      <c r="H8" s="29">
        <v>1</v>
      </c>
      <c r="I8" s="29">
        <v>1</v>
      </c>
      <c r="J8" s="29">
        <v>1</v>
      </c>
      <c r="K8" s="29">
        <v>1</v>
      </c>
      <c r="L8" s="29">
        <v>1</v>
      </c>
      <c r="M8" s="29">
        <v>1</v>
      </c>
      <c r="N8" s="29">
        <v>1</v>
      </c>
      <c r="O8" s="29">
        <v>1</v>
      </c>
      <c r="P8" s="29">
        <v>1</v>
      </c>
      <c r="Q8" s="29">
        <v>1</v>
      </c>
      <c r="R8" s="29">
        <v>1</v>
      </c>
      <c r="S8" s="29">
        <v>1</v>
      </c>
      <c r="T8" s="29">
        <v>1</v>
      </c>
      <c r="U8" s="29">
        <v>1</v>
      </c>
      <c r="V8" s="29">
        <v>1</v>
      </c>
      <c r="W8" s="29">
        <v>1</v>
      </c>
      <c r="X8" s="29">
        <v>1</v>
      </c>
      <c r="Y8" s="29">
        <v>1</v>
      </c>
      <c r="Z8" s="29">
        <v>1</v>
      </c>
      <c r="AA8" s="29">
        <v>1</v>
      </c>
      <c r="AB8" s="29">
        <v>1</v>
      </c>
    </row>
    <row r="9" spans="1:28" x14ac:dyDescent="0.2">
      <c r="A9" s="28">
        <v>2007</v>
      </c>
      <c r="B9" t="s">
        <v>11</v>
      </c>
      <c r="C9" s="4">
        <v>45.890060037854887</v>
      </c>
      <c r="D9">
        <v>57.171999999999997</v>
      </c>
      <c r="E9">
        <v>8.0266669065022889</v>
      </c>
      <c r="G9" s="15">
        <v>2007</v>
      </c>
      <c r="H9" s="29">
        <v>0.65734004321277228</v>
      </c>
      <c r="I9" s="29">
        <v>0.72932498882431818</v>
      </c>
      <c r="J9" s="29">
        <v>0.90129921953231484</v>
      </c>
      <c r="K9" s="29">
        <v>0.70986051167103814</v>
      </c>
      <c r="L9" s="29">
        <v>0.78571821230278704</v>
      </c>
      <c r="M9" s="29">
        <v>0.90345431804434728</v>
      </c>
      <c r="N9" s="29">
        <v>0.90277488195958078</v>
      </c>
      <c r="O9" s="29">
        <v>0.93500327610473388</v>
      </c>
      <c r="P9" s="29">
        <v>0.96553125003003393</v>
      </c>
      <c r="Q9" s="29">
        <v>0.8238273555184964</v>
      </c>
      <c r="R9" s="29">
        <v>0.93540490692795486</v>
      </c>
      <c r="S9" s="29">
        <v>0.8807173764184113</v>
      </c>
      <c r="T9" s="29">
        <v>0.74984357633526388</v>
      </c>
      <c r="U9" s="29">
        <v>0.86221714724033327</v>
      </c>
      <c r="V9" s="29">
        <v>0.86966906043942693</v>
      </c>
      <c r="W9" s="29">
        <v>0.60929058425941762</v>
      </c>
      <c r="X9" s="29">
        <v>0.78439754207854662</v>
      </c>
      <c r="Y9" s="29">
        <v>0.77676248531437331</v>
      </c>
      <c r="Z9" s="29">
        <v>0.84502711295069921</v>
      </c>
      <c r="AA9" s="29">
        <v>0.91934034062441017</v>
      </c>
      <c r="AB9" s="29">
        <v>0.88417205804832244</v>
      </c>
    </row>
    <row r="10" spans="1:28" x14ac:dyDescent="0.2">
      <c r="A10" s="28">
        <v>2007</v>
      </c>
      <c r="B10" t="s">
        <v>12</v>
      </c>
      <c r="C10" s="4">
        <v>537.5720598004159</v>
      </c>
      <c r="D10">
        <v>626.45500000000004</v>
      </c>
      <c r="E10">
        <v>8.5811759791272451</v>
      </c>
      <c r="G10" s="15">
        <v>2012</v>
      </c>
      <c r="H10" s="29">
        <v>0.51280567916881981</v>
      </c>
      <c r="I10" s="29">
        <v>0.5042467590523021</v>
      </c>
      <c r="J10" s="29">
        <v>1.0169736740253987</v>
      </c>
      <c r="K10" s="29">
        <v>0.70615696432097264</v>
      </c>
      <c r="L10" s="29">
        <v>0.69983783189489313</v>
      </c>
      <c r="M10" s="29">
        <v>1.0090294238723416</v>
      </c>
      <c r="N10" s="29">
        <v>0.99161804189970459</v>
      </c>
      <c r="O10" s="29">
        <v>0.91150636638940419</v>
      </c>
      <c r="P10" s="29">
        <v>1.0878893208696208</v>
      </c>
      <c r="Q10" s="29">
        <v>0.88670867035954248</v>
      </c>
      <c r="R10" s="29">
        <v>0.89992747632837511</v>
      </c>
      <c r="S10" s="29">
        <v>0.98531125416598675</v>
      </c>
      <c r="T10" s="29">
        <v>0.80461223048001851</v>
      </c>
      <c r="U10" s="29">
        <v>0.82027300303336703</v>
      </c>
      <c r="V10" s="29">
        <v>0.98090785324466978</v>
      </c>
      <c r="W10" s="29">
        <v>0.64717620717023039</v>
      </c>
      <c r="X10" s="29">
        <v>0.67425861608335569</v>
      </c>
      <c r="Y10" s="29">
        <v>0.95983379631032084</v>
      </c>
      <c r="Z10" s="29">
        <v>0.91425665266328304</v>
      </c>
      <c r="AA10" s="29">
        <v>0.88440821159285299</v>
      </c>
      <c r="AB10" s="29">
        <v>1.0070719331994826</v>
      </c>
    </row>
    <row r="11" spans="1:28" x14ac:dyDescent="0.2">
      <c r="A11" s="28">
        <v>2007</v>
      </c>
      <c r="B11" t="s">
        <v>13</v>
      </c>
      <c r="C11" s="4">
        <v>438.10682804292287</v>
      </c>
      <c r="D11">
        <v>553.32100000000003</v>
      </c>
      <c r="E11">
        <v>7.9177697582944235</v>
      </c>
      <c r="G11" s="15">
        <v>2017</v>
      </c>
      <c r="H11" s="29">
        <v>0.55694382268253784</v>
      </c>
      <c r="I11" s="29">
        <v>0.50961108627626284</v>
      </c>
      <c r="J11" s="29">
        <v>1.0928801152112604</v>
      </c>
      <c r="K11" s="29">
        <v>0.70678556823620542</v>
      </c>
      <c r="L11" s="29">
        <v>0.66256665383981095</v>
      </c>
      <c r="M11" s="29">
        <v>1.0667388166007603</v>
      </c>
      <c r="N11" s="29">
        <v>1.1024039810808721</v>
      </c>
      <c r="O11" s="29">
        <v>0.93767490593325697</v>
      </c>
      <c r="P11" s="29">
        <v>1.1756782378469031</v>
      </c>
      <c r="Q11" s="29">
        <v>0.96198805802332954</v>
      </c>
      <c r="R11" s="29">
        <v>0.89195156297810263</v>
      </c>
      <c r="S11" s="29">
        <v>1.0785205138397702</v>
      </c>
      <c r="T11" s="29">
        <v>0.83385447438221449</v>
      </c>
      <c r="U11" s="29">
        <v>0.761148495519682</v>
      </c>
      <c r="V11" s="29">
        <v>1.0955214117750987</v>
      </c>
      <c r="W11" s="29">
        <v>0.48646066551888889</v>
      </c>
      <c r="X11" s="29">
        <v>0.48370291210259153</v>
      </c>
      <c r="Y11" s="29">
        <v>1.0057013372202157</v>
      </c>
      <c r="Z11" s="29">
        <v>0.99586474860641916</v>
      </c>
      <c r="AA11" s="29">
        <v>0.88475785197244694</v>
      </c>
      <c r="AB11" s="29">
        <v>1.0868985463024674</v>
      </c>
    </row>
    <row r="12" spans="1:28" x14ac:dyDescent="0.2">
      <c r="A12" s="28">
        <v>2007</v>
      </c>
      <c r="B12" t="s">
        <v>14</v>
      </c>
      <c r="C12" s="4">
        <v>78.780965114616194</v>
      </c>
      <c r="D12">
        <v>98.917000000000002</v>
      </c>
      <c r="E12">
        <v>7.9643504265814959</v>
      </c>
      <c r="G12" s="15">
        <v>2022</v>
      </c>
      <c r="H12" s="29">
        <v>0.32755642316619998</v>
      </c>
      <c r="I12" s="29">
        <v>0.2801743406347787</v>
      </c>
      <c r="J12" s="29">
        <v>1.1691164238097953</v>
      </c>
      <c r="K12" s="29">
        <v>0.59545036961233011</v>
      </c>
      <c r="L12" s="29">
        <v>0.52622175801220383</v>
      </c>
      <c r="M12" s="29">
        <v>1.1315578661392423</v>
      </c>
      <c r="N12" s="29">
        <v>1.1561686491636938</v>
      </c>
      <c r="O12" s="29">
        <v>0.94208384141563528</v>
      </c>
      <c r="P12" s="29">
        <v>1.2272460245431667</v>
      </c>
      <c r="Q12" s="29">
        <v>0.84489239681828776</v>
      </c>
      <c r="R12" s="29">
        <v>0.77029099066659235</v>
      </c>
      <c r="S12" s="29">
        <v>1.0968483431010105</v>
      </c>
      <c r="T12" s="29">
        <v>0.61982702770646392</v>
      </c>
      <c r="U12" s="29">
        <v>0.55517590042188203</v>
      </c>
      <c r="V12" s="29">
        <v>1.1164516097248693</v>
      </c>
      <c r="W12" s="29">
        <v>0.30137940129555557</v>
      </c>
      <c r="X12" s="29">
        <v>0.28119155757413838</v>
      </c>
      <c r="Y12" s="29">
        <v>1.0717939183365934</v>
      </c>
      <c r="Z12" s="29">
        <v>0.94725885554520917</v>
      </c>
      <c r="AA12" s="29">
        <v>0.81167418676363357</v>
      </c>
      <c r="AB12" s="29">
        <v>1.1360988606420099</v>
      </c>
    </row>
    <row r="13" spans="1:28" x14ac:dyDescent="0.2">
      <c r="A13" s="28">
        <v>2007</v>
      </c>
      <c r="B13" t="s">
        <v>15</v>
      </c>
      <c r="C13" s="4">
        <v>7.4849834447949526</v>
      </c>
      <c r="D13">
        <v>11.744</v>
      </c>
      <c r="E13">
        <v>6.3734532057177731</v>
      </c>
      <c r="G13" s="15" t="s">
        <v>40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spans="1:28" x14ac:dyDescent="0.2">
      <c r="A14" s="28">
        <v>2012</v>
      </c>
      <c r="B14" t="s">
        <v>10</v>
      </c>
      <c r="C14" s="4">
        <v>4.0399635297906604</v>
      </c>
      <c r="D14">
        <v>4.5119999999999996</v>
      </c>
      <c r="E14">
        <v>8.9538198798551871</v>
      </c>
    </row>
    <row r="15" spans="1:28" x14ac:dyDescent="0.2">
      <c r="A15" s="28">
        <v>2012</v>
      </c>
      <c r="B15" t="s">
        <v>11</v>
      </c>
      <c r="C15" s="4">
        <v>45.650638338164249</v>
      </c>
      <c r="D15">
        <v>50.923000000000002</v>
      </c>
      <c r="E15">
        <v>8.9646404057428377</v>
      </c>
    </row>
    <row r="16" spans="1:28" x14ac:dyDescent="0.2">
      <c r="A16" s="28">
        <v>2012</v>
      </c>
      <c r="B16" t="s">
        <v>12</v>
      </c>
      <c r="C16" s="4">
        <v>590.4751715756596</v>
      </c>
      <c r="D16">
        <v>610.71199999999999</v>
      </c>
      <c r="E16">
        <v>9.6686354873599942</v>
      </c>
    </row>
    <row r="17" spans="1:8" x14ac:dyDescent="0.2">
      <c r="A17" s="28">
        <v>2012</v>
      </c>
      <c r="B17" t="s">
        <v>13</v>
      </c>
      <c r="C17" s="4">
        <v>471.54676324735726</v>
      </c>
      <c r="D17">
        <v>532.33500000000004</v>
      </c>
      <c r="E17">
        <v>8.8580830350692192</v>
      </c>
    </row>
    <row r="18" spans="1:8" x14ac:dyDescent="0.2">
      <c r="A18" s="28">
        <v>2012</v>
      </c>
      <c r="B18" t="s">
        <v>14</v>
      </c>
      <c r="C18" s="4">
        <v>84.535135141170144</v>
      </c>
      <c r="D18">
        <v>94.105000000000004</v>
      </c>
      <c r="E18">
        <v>8.9830652081366722</v>
      </c>
      <c r="G18" s="4"/>
    </row>
    <row r="19" spans="1:8" x14ac:dyDescent="0.2">
      <c r="A19" s="28">
        <v>2012</v>
      </c>
      <c r="B19" t="s">
        <v>15</v>
      </c>
      <c r="C19" s="4">
        <v>7.9503989092860978</v>
      </c>
      <c r="D19">
        <v>10.095000000000001</v>
      </c>
      <c r="E19">
        <v>7.8755808908232767</v>
      </c>
    </row>
    <row r="20" spans="1:8" x14ac:dyDescent="0.2">
      <c r="A20" s="28">
        <v>2017</v>
      </c>
      <c r="B20" t="s">
        <v>10</v>
      </c>
      <c r="C20" s="4">
        <v>4.3876907436489603</v>
      </c>
      <c r="D20">
        <v>4.5599999999999996</v>
      </c>
      <c r="E20">
        <v>9.622128823791579</v>
      </c>
    </row>
    <row r="21" spans="1:8" x14ac:dyDescent="0.2">
      <c r="A21" s="28">
        <v>2017</v>
      </c>
      <c r="B21" t="s">
        <v>11</v>
      </c>
      <c r="C21" s="4">
        <v>45.691275436489605</v>
      </c>
      <c r="D21">
        <v>48.210999999999999</v>
      </c>
      <c r="E21">
        <v>9.4773548436020008</v>
      </c>
    </row>
    <row r="22" spans="1:8" x14ac:dyDescent="0.2">
      <c r="A22" s="28">
        <v>2017</v>
      </c>
      <c r="B22" t="s">
        <v>12</v>
      </c>
      <c r="C22" s="4">
        <v>656.44446991642826</v>
      </c>
      <c r="D22">
        <v>628.245</v>
      </c>
      <c r="E22">
        <v>10.448861032183755</v>
      </c>
    </row>
    <row r="23" spans="1:8" x14ac:dyDescent="0.2">
      <c r="A23" s="28">
        <v>2017</v>
      </c>
      <c r="B23" t="s">
        <v>13</v>
      </c>
      <c r="C23" s="4">
        <v>511.5799249595442</v>
      </c>
      <c r="D23">
        <v>527.61699999999996</v>
      </c>
      <c r="E23">
        <v>9.6960470371414136</v>
      </c>
    </row>
    <row r="24" spans="1:8" x14ac:dyDescent="0.2">
      <c r="A24" s="28">
        <v>2017</v>
      </c>
      <c r="B24" t="s">
        <v>14</v>
      </c>
      <c r="C24" s="4">
        <v>87.607418840646645</v>
      </c>
      <c r="D24">
        <v>87.322000000000003</v>
      </c>
      <c r="E24">
        <v>10.032685788306114</v>
      </c>
    </row>
    <row r="25" spans="1:8" x14ac:dyDescent="0.2">
      <c r="A25" s="28">
        <v>2017</v>
      </c>
      <c r="B25" t="s">
        <v>15</v>
      </c>
      <c r="C25" s="4">
        <v>5.9760484110854497</v>
      </c>
      <c r="D25">
        <v>7.242</v>
      </c>
      <c r="E25">
        <v>8.2519309736059778</v>
      </c>
    </row>
    <row r="26" spans="1:8" x14ac:dyDescent="0.2">
      <c r="A26" s="28">
        <v>2022</v>
      </c>
      <c r="B26" t="s">
        <v>10</v>
      </c>
      <c r="C26" s="4">
        <v>2.580540850649351</v>
      </c>
      <c r="D26">
        <v>2.5070000000000001</v>
      </c>
      <c r="E26">
        <v>10.293342044871762</v>
      </c>
      <c r="H26">
        <v>1</v>
      </c>
    </row>
    <row r="27" spans="1:8" x14ac:dyDescent="0.2">
      <c r="A27" s="28">
        <v>2022</v>
      </c>
      <c r="B27" t="s">
        <v>11</v>
      </c>
      <c r="C27" s="4">
        <v>38.493834720779219</v>
      </c>
      <c r="D27">
        <v>38.29</v>
      </c>
      <c r="E27">
        <v>10.053234453063258</v>
      </c>
    </row>
    <row r="28" spans="1:8" x14ac:dyDescent="0.2">
      <c r="A28" s="28">
        <v>2022</v>
      </c>
      <c r="B28" t="s">
        <v>12</v>
      </c>
      <c r="C28" s="4">
        <v>688.45952033855792</v>
      </c>
      <c r="D28">
        <v>631.19899999999996</v>
      </c>
      <c r="E28">
        <v>10.90717064410048</v>
      </c>
    </row>
    <row r="29" spans="1:8" x14ac:dyDescent="0.2">
      <c r="A29" s="28">
        <v>2022</v>
      </c>
      <c r="B29" t="s">
        <v>13</v>
      </c>
      <c r="C29" s="4">
        <v>449.30910041786291</v>
      </c>
      <c r="D29">
        <v>455.65100000000001</v>
      </c>
      <c r="E29">
        <v>9.8608167307404759</v>
      </c>
    </row>
    <row r="30" spans="1:8" x14ac:dyDescent="0.2">
      <c r="A30" s="28">
        <v>2022</v>
      </c>
      <c r="B30" t="s">
        <v>14</v>
      </c>
      <c r="C30" s="4">
        <v>65.121010551948046</v>
      </c>
      <c r="D30">
        <v>63.692</v>
      </c>
      <c r="E30">
        <v>10.22436264396597</v>
      </c>
    </row>
    <row r="31" spans="1:8" x14ac:dyDescent="0.2">
      <c r="A31" s="28">
        <v>2022</v>
      </c>
      <c r="B31" t="s">
        <v>15</v>
      </c>
      <c r="C31" s="4">
        <v>3.7023710649350652</v>
      </c>
      <c r="D31">
        <v>4.21</v>
      </c>
      <c r="E31">
        <v>8.7942305580405353</v>
      </c>
    </row>
    <row r="32" spans="1:8" x14ac:dyDescent="0.2">
      <c r="H32" s="4">
        <f>1-(C8/$C$2)</f>
        <v>0.34265995678722772</v>
      </c>
    </row>
    <row r="33" spans="8:8" x14ac:dyDescent="0.2">
      <c r="H33" s="4">
        <f>1-(C14/$C$2)</f>
        <v>0.48719432083118019</v>
      </c>
    </row>
    <row r="34" spans="8:8" x14ac:dyDescent="0.2">
      <c r="H34" s="4">
        <f>1-(C20/$C$2)</f>
        <v>0.44305617731746216</v>
      </c>
    </row>
    <row r="35" spans="8:8" x14ac:dyDescent="0.2">
      <c r="H35" s="4">
        <f>1-(C26/$C$2)</f>
        <v>0.67244357683379996</v>
      </c>
    </row>
  </sheetData>
  <autoFilter ref="A1:AB31" xr:uid="{EB5AB898-6AEB-CF41-A3A0-0E2578B40FF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91AB-6F20-2349-AD8E-CA0D337C4BC1}">
  <dimension ref="A1:AB31"/>
  <sheetViews>
    <sheetView topLeftCell="I1" zoomScale="137" workbookViewId="0">
      <selection activeCell="D1" sqref="D1"/>
    </sheetView>
  </sheetViews>
  <sheetFormatPr baseColWidth="10" defaultRowHeight="16" x14ac:dyDescent="0.2"/>
  <cols>
    <col min="7" max="7" width="14.1640625" bestFit="1" customWidth="1"/>
    <col min="8" max="8" width="22" bestFit="1" customWidth="1"/>
    <col min="9" max="10" width="9.6640625" bestFit="1" customWidth="1"/>
    <col min="11" max="11" width="12.33203125" bestFit="1" customWidth="1"/>
    <col min="12" max="12" width="9.6640625" bestFit="1" customWidth="1"/>
    <col min="13" max="13" width="12.33203125" bestFit="1" customWidth="1"/>
    <col min="14" max="14" width="30.33203125" bestFit="1" customWidth="1"/>
    <col min="15" max="15" width="9" bestFit="1" customWidth="1"/>
    <col min="16" max="16" width="10.33203125" bestFit="1" customWidth="1"/>
    <col min="17" max="17" width="12.33203125" bestFit="1" customWidth="1"/>
    <col min="18" max="18" width="9.33203125" bestFit="1" customWidth="1"/>
    <col min="19" max="19" width="12.33203125" bestFit="1" customWidth="1"/>
    <col min="20" max="20" width="37" bestFit="1" customWidth="1"/>
    <col min="21" max="25" width="13.6640625" bestFit="1" customWidth="1"/>
    <col min="26" max="26" width="26.6640625" bestFit="1" customWidth="1"/>
    <col min="27" max="27" width="34.83203125" bestFit="1" customWidth="1"/>
    <col min="28" max="28" width="41.6640625" bestFit="1" customWidth="1"/>
  </cols>
  <sheetData>
    <row r="1" spans="1:28" x14ac:dyDescent="0.2">
      <c r="A1" s="16" t="s">
        <v>24</v>
      </c>
      <c r="B1" s="16" t="s">
        <v>9</v>
      </c>
      <c r="C1" s="16" t="s">
        <v>51</v>
      </c>
      <c r="D1" s="16" t="s">
        <v>52</v>
      </c>
      <c r="E1" s="16" t="s">
        <v>53</v>
      </c>
    </row>
    <row r="2" spans="1:28" x14ac:dyDescent="0.2">
      <c r="A2" s="28">
        <v>2002</v>
      </c>
      <c r="B2" t="s">
        <v>10</v>
      </c>
      <c r="C2" s="4">
        <v>7.8781567636669472</v>
      </c>
      <c r="D2">
        <v>8.9480000000000004</v>
      </c>
      <c r="E2">
        <v>8.8043772504100897</v>
      </c>
    </row>
    <row r="3" spans="1:28" x14ac:dyDescent="0.2">
      <c r="A3" s="28">
        <v>2002</v>
      </c>
      <c r="B3" t="s">
        <v>11</v>
      </c>
      <c r="C3" s="4">
        <v>64.646588003364172</v>
      </c>
      <c r="D3">
        <v>72.763999999999996</v>
      </c>
      <c r="E3">
        <v>8.8844192187571007</v>
      </c>
    </row>
    <row r="4" spans="1:28" x14ac:dyDescent="0.2">
      <c r="A4" s="28">
        <v>2002</v>
      </c>
      <c r="B4" t="s">
        <v>12</v>
      </c>
      <c r="C4" s="4">
        <v>595.46634553406216</v>
      </c>
      <c r="D4">
        <v>670.00300000000004</v>
      </c>
      <c r="E4">
        <v>8.8875176011758477</v>
      </c>
    </row>
    <row r="5" spans="1:28" x14ac:dyDescent="0.2">
      <c r="A5" s="28">
        <v>2002</v>
      </c>
      <c r="B5" t="s">
        <v>13</v>
      </c>
      <c r="C5" s="4">
        <v>531.79446531875521</v>
      </c>
      <c r="D5">
        <v>591.53099999999995</v>
      </c>
      <c r="E5">
        <v>8.990136870574073</v>
      </c>
      <c r="H5" s="14" t="s">
        <v>57</v>
      </c>
    </row>
    <row r="6" spans="1:28" x14ac:dyDescent="0.2">
      <c r="A6" s="28">
        <v>2002</v>
      </c>
      <c r="B6" t="s">
        <v>14</v>
      </c>
      <c r="C6" s="4">
        <v>105.06319931370899</v>
      </c>
      <c r="D6">
        <v>114.724</v>
      </c>
      <c r="E6">
        <v>9.1579093575632822</v>
      </c>
      <c r="H6" t="s">
        <v>54</v>
      </c>
      <c r="N6" t="s">
        <v>55</v>
      </c>
      <c r="T6" t="s">
        <v>56</v>
      </c>
      <c r="Z6" t="s">
        <v>58</v>
      </c>
      <c r="AA6" t="s">
        <v>59</v>
      </c>
      <c r="AB6" t="s">
        <v>60</v>
      </c>
    </row>
    <row r="7" spans="1:28" x14ac:dyDescent="0.2">
      <c r="A7" s="28">
        <v>2002</v>
      </c>
      <c r="B7" t="s">
        <v>15</v>
      </c>
      <c r="C7" s="4">
        <v>12.284751542472666</v>
      </c>
      <c r="D7">
        <v>14.972</v>
      </c>
      <c r="E7">
        <v>8.2051506428484284</v>
      </c>
      <c r="G7" s="14" t="s">
        <v>39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10</v>
      </c>
      <c r="O7" t="s">
        <v>11</v>
      </c>
      <c r="P7" t="s">
        <v>12</v>
      </c>
      <c r="Q7" t="s">
        <v>13</v>
      </c>
      <c r="R7" t="s">
        <v>14</v>
      </c>
      <c r="S7" t="s">
        <v>15</v>
      </c>
      <c r="T7" t="s">
        <v>10</v>
      </c>
      <c r="U7" t="s">
        <v>11</v>
      </c>
      <c r="V7" t="s">
        <v>12</v>
      </c>
      <c r="W7" t="s">
        <v>13</v>
      </c>
      <c r="X7" t="s">
        <v>14</v>
      </c>
      <c r="Y7" t="s">
        <v>15</v>
      </c>
    </row>
    <row r="8" spans="1:28" x14ac:dyDescent="0.2">
      <c r="A8" s="28">
        <v>2007</v>
      </c>
      <c r="B8" t="s">
        <v>10</v>
      </c>
      <c r="C8" s="4">
        <v>5.1786279074658257</v>
      </c>
      <c r="D8">
        <v>6.5259999999999998</v>
      </c>
      <c r="E8">
        <v>7.9353783442626815</v>
      </c>
      <c r="G8" s="15">
        <v>2002</v>
      </c>
      <c r="H8" s="4">
        <v>7.8781567636669472</v>
      </c>
      <c r="I8" s="4">
        <v>64.646588003364172</v>
      </c>
      <c r="J8" s="4">
        <v>595.46634553406216</v>
      </c>
      <c r="K8" s="4">
        <v>531.79446531875521</v>
      </c>
      <c r="L8" s="4">
        <v>105.06319931370899</v>
      </c>
      <c r="M8" s="4">
        <v>12.284751542472666</v>
      </c>
      <c r="N8">
        <v>8.9480000000000004</v>
      </c>
      <c r="O8">
        <v>72.763999999999996</v>
      </c>
      <c r="P8">
        <v>670.00300000000004</v>
      </c>
      <c r="Q8">
        <v>591.53099999999995</v>
      </c>
      <c r="R8">
        <v>114.724</v>
      </c>
      <c r="S8">
        <v>14.972</v>
      </c>
      <c r="T8">
        <v>8.8043772504100897</v>
      </c>
      <c r="U8">
        <v>8.8844192187571007</v>
      </c>
      <c r="V8">
        <v>8.8875176011758477</v>
      </c>
      <c r="W8">
        <v>8.990136870574073</v>
      </c>
      <c r="X8">
        <v>9.1579093575632822</v>
      </c>
      <c r="Y8">
        <v>8.2051506428484284</v>
      </c>
      <c r="Z8" s="4">
        <v>1317.1335064760301</v>
      </c>
      <c r="AA8">
        <v>1472.942</v>
      </c>
      <c r="AB8">
        <v>52.929510941328822</v>
      </c>
    </row>
    <row r="9" spans="1:28" x14ac:dyDescent="0.2">
      <c r="A9" s="28">
        <v>2007</v>
      </c>
      <c r="B9" t="s">
        <v>11</v>
      </c>
      <c r="C9" s="4">
        <v>45.890060037854887</v>
      </c>
      <c r="D9">
        <v>57.171999999999997</v>
      </c>
      <c r="E9">
        <v>8.0266669065022889</v>
      </c>
      <c r="G9" s="15">
        <v>2007</v>
      </c>
      <c r="H9" s="4">
        <v>5.1786279074658257</v>
      </c>
      <c r="I9" s="4">
        <v>45.890060037854887</v>
      </c>
      <c r="J9" s="4">
        <v>537.5720598004159</v>
      </c>
      <c r="K9" s="4">
        <v>438.10682804292287</v>
      </c>
      <c r="L9" s="4">
        <v>78.780965114616194</v>
      </c>
      <c r="M9" s="4">
        <v>7.4849834447949526</v>
      </c>
      <c r="N9">
        <v>6.5259999999999998</v>
      </c>
      <c r="O9">
        <v>57.171999999999997</v>
      </c>
      <c r="P9">
        <v>626.45500000000004</v>
      </c>
      <c r="Q9">
        <v>553.32100000000003</v>
      </c>
      <c r="R9">
        <v>98.917000000000002</v>
      </c>
      <c r="S9">
        <v>11.744</v>
      </c>
      <c r="T9">
        <v>7.9353783442626815</v>
      </c>
      <c r="U9">
        <v>8.0266669065022889</v>
      </c>
      <c r="V9">
        <v>8.5811759791272451</v>
      </c>
      <c r="W9">
        <v>7.9177697582944235</v>
      </c>
      <c r="X9">
        <v>7.9643504265814959</v>
      </c>
      <c r="Y9">
        <v>6.3734532057177731</v>
      </c>
      <c r="Z9" s="4">
        <v>1113.0135243480709</v>
      </c>
      <c r="AA9">
        <v>1354.135</v>
      </c>
      <c r="AB9">
        <v>46.798794620485907</v>
      </c>
    </row>
    <row r="10" spans="1:28" x14ac:dyDescent="0.2">
      <c r="A10" s="28">
        <v>2007</v>
      </c>
      <c r="B10" t="s">
        <v>12</v>
      </c>
      <c r="C10" s="4">
        <v>537.5720598004159</v>
      </c>
      <c r="D10">
        <v>626.45500000000004</v>
      </c>
      <c r="E10">
        <v>8.5811759791272451</v>
      </c>
      <c r="G10" s="15">
        <v>2012</v>
      </c>
      <c r="H10" s="4">
        <v>4.0399635297906604</v>
      </c>
      <c r="I10" s="4">
        <v>45.650638338164249</v>
      </c>
      <c r="J10" s="4">
        <v>590.4751715756596</v>
      </c>
      <c r="K10" s="4">
        <v>471.54676324735726</v>
      </c>
      <c r="L10" s="4">
        <v>84.535135141170144</v>
      </c>
      <c r="M10" s="4">
        <v>7.9503989092860978</v>
      </c>
      <c r="N10">
        <v>4.5119999999999996</v>
      </c>
      <c r="O10">
        <v>50.923000000000002</v>
      </c>
      <c r="P10">
        <v>610.71199999999999</v>
      </c>
      <c r="Q10">
        <v>532.33500000000004</v>
      </c>
      <c r="R10">
        <v>94.105000000000004</v>
      </c>
      <c r="S10">
        <v>10.095000000000001</v>
      </c>
      <c r="T10">
        <v>8.9538198798551871</v>
      </c>
      <c r="U10">
        <v>8.9646404057428377</v>
      </c>
      <c r="V10">
        <v>9.6686354873599942</v>
      </c>
      <c r="W10">
        <v>8.8580830350692192</v>
      </c>
      <c r="X10">
        <v>8.9830652081366722</v>
      </c>
      <c r="Y10">
        <v>7.8755808908232767</v>
      </c>
      <c r="Z10" s="4">
        <v>1204.198070741428</v>
      </c>
      <c r="AA10">
        <v>1302.682</v>
      </c>
      <c r="AB10">
        <v>53.303824906987188</v>
      </c>
    </row>
    <row r="11" spans="1:28" x14ac:dyDescent="0.2">
      <c r="A11" s="28">
        <v>2007</v>
      </c>
      <c r="B11" t="s">
        <v>13</v>
      </c>
      <c r="C11" s="4">
        <v>438.10682804292287</v>
      </c>
      <c r="D11">
        <v>553.32100000000003</v>
      </c>
      <c r="E11">
        <v>7.9177697582944235</v>
      </c>
      <c r="G11" s="15">
        <v>2017</v>
      </c>
      <c r="H11" s="4">
        <v>4.3876907436489603</v>
      </c>
      <c r="I11" s="4">
        <v>45.691275436489605</v>
      </c>
      <c r="J11" s="4">
        <v>656.44446991642826</v>
      </c>
      <c r="K11" s="4">
        <v>511.5799249595442</v>
      </c>
      <c r="L11" s="4">
        <v>87.607418840646645</v>
      </c>
      <c r="M11" s="4">
        <v>5.9760484110854497</v>
      </c>
      <c r="N11">
        <v>4.5599999999999996</v>
      </c>
      <c r="O11">
        <v>48.210999999999999</v>
      </c>
      <c r="P11">
        <v>628.245</v>
      </c>
      <c r="Q11">
        <v>527.61699999999996</v>
      </c>
      <c r="R11">
        <v>87.322000000000003</v>
      </c>
      <c r="S11">
        <v>7.242</v>
      </c>
      <c r="T11">
        <v>9.622128823791579</v>
      </c>
      <c r="U11">
        <v>9.4773548436020008</v>
      </c>
      <c r="V11">
        <v>10.448861032183755</v>
      </c>
      <c r="W11">
        <v>9.6960470371414136</v>
      </c>
      <c r="X11">
        <v>10.032685788306114</v>
      </c>
      <c r="Y11">
        <v>8.2519309736059778</v>
      </c>
      <c r="Z11" s="4">
        <v>1311.6868283078431</v>
      </c>
      <c r="AA11">
        <v>1303.1969999999999</v>
      </c>
      <c r="AB11">
        <v>57.529008498630844</v>
      </c>
    </row>
    <row r="12" spans="1:28" x14ac:dyDescent="0.2">
      <c r="A12" s="28">
        <v>2007</v>
      </c>
      <c r="B12" t="s">
        <v>14</v>
      </c>
      <c r="C12" s="4">
        <v>78.780965114616194</v>
      </c>
      <c r="D12">
        <v>98.917000000000002</v>
      </c>
      <c r="E12">
        <v>7.9643504265814959</v>
      </c>
      <c r="G12" s="15">
        <v>2022</v>
      </c>
      <c r="H12" s="4">
        <v>2.580540850649351</v>
      </c>
      <c r="I12" s="4">
        <v>38.493834720779219</v>
      </c>
      <c r="J12" s="4">
        <v>688.45952033855792</v>
      </c>
      <c r="K12" s="4">
        <v>449.30910041786291</v>
      </c>
      <c r="L12" s="4">
        <v>65.121010551948046</v>
      </c>
      <c r="M12" s="4">
        <v>3.7023710649350652</v>
      </c>
      <c r="N12">
        <v>2.5070000000000001</v>
      </c>
      <c r="O12">
        <v>38.29</v>
      </c>
      <c r="P12">
        <v>631.19899999999996</v>
      </c>
      <c r="Q12">
        <v>455.65100000000001</v>
      </c>
      <c r="R12">
        <v>63.692</v>
      </c>
      <c r="S12">
        <v>4.21</v>
      </c>
      <c r="T12">
        <v>10.293342044871762</v>
      </c>
      <c r="U12">
        <v>10.053234453063258</v>
      </c>
      <c r="V12">
        <v>10.90717064410048</v>
      </c>
      <c r="W12">
        <v>9.8608167307404759</v>
      </c>
      <c r="X12">
        <v>10.22436264396597</v>
      </c>
      <c r="Y12">
        <v>8.7942305580405353</v>
      </c>
      <c r="Z12" s="4">
        <v>1247.6663779447326</v>
      </c>
      <c r="AA12">
        <v>1195.549</v>
      </c>
      <c r="AB12">
        <v>60.133157074782474</v>
      </c>
    </row>
    <row r="13" spans="1:28" x14ac:dyDescent="0.2">
      <c r="A13" s="28">
        <v>2007</v>
      </c>
      <c r="B13" t="s">
        <v>15</v>
      </c>
      <c r="C13" s="4">
        <v>7.4849834447949526</v>
      </c>
      <c r="D13">
        <v>11.744</v>
      </c>
      <c r="E13">
        <v>6.3734532057177731</v>
      </c>
      <c r="G13" s="15" t="s">
        <v>40</v>
      </c>
      <c r="H13" s="4">
        <v>24.064979795221745</v>
      </c>
      <c r="I13" s="4">
        <v>240.3723965366521</v>
      </c>
      <c r="J13" s="4">
        <v>3068.4175671651237</v>
      </c>
      <c r="K13" s="4">
        <v>2402.3370819864422</v>
      </c>
      <c r="L13" s="4">
        <v>421.10772896209005</v>
      </c>
      <c r="M13" s="4">
        <v>37.398553372574227</v>
      </c>
      <c r="N13">
        <v>27.053000000000001</v>
      </c>
      <c r="O13">
        <v>267.36</v>
      </c>
      <c r="P13">
        <v>3166.614</v>
      </c>
      <c r="Q13">
        <v>2660.4549999999999</v>
      </c>
      <c r="R13">
        <v>458.76000000000005</v>
      </c>
      <c r="S13">
        <v>48.262999999999998</v>
      </c>
      <c r="T13">
        <v>45.609046343191302</v>
      </c>
      <c r="U13">
        <v>45.406315827667484</v>
      </c>
      <c r="V13">
        <v>48.493360743947328</v>
      </c>
      <c r="W13">
        <v>45.322853431819603</v>
      </c>
      <c r="X13">
        <v>46.362373424553532</v>
      </c>
      <c r="Y13">
        <v>39.500346271035994</v>
      </c>
      <c r="Z13" s="4">
        <v>6193.6983078181047</v>
      </c>
      <c r="AA13">
        <v>6628.5050000000001</v>
      </c>
      <c r="AB13">
        <v>270.69429604221523</v>
      </c>
    </row>
    <row r="14" spans="1:28" x14ac:dyDescent="0.2">
      <c r="A14" s="28">
        <v>2012</v>
      </c>
      <c r="B14" t="s">
        <v>10</v>
      </c>
      <c r="C14" s="4">
        <v>4.0399635297906604</v>
      </c>
      <c r="D14">
        <v>4.5119999999999996</v>
      </c>
      <c r="E14">
        <v>8.9538198798551871</v>
      </c>
    </row>
    <row r="15" spans="1:28" x14ac:dyDescent="0.2">
      <c r="A15" s="28">
        <v>2012</v>
      </c>
      <c r="B15" t="s">
        <v>11</v>
      </c>
      <c r="C15" s="4">
        <v>45.650638338164249</v>
      </c>
      <c r="D15">
        <v>50.923000000000002</v>
      </c>
      <c r="E15">
        <v>8.9646404057428377</v>
      </c>
    </row>
    <row r="16" spans="1:28" x14ac:dyDescent="0.2">
      <c r="A16" s="28">
        <v>2012</v>
      </c>
      <c r="B16" t="s">
        <v>12</v>
      </c>
      <c r="C16" s="4">
        <v>590.4751715756596</v>
      </c>
      <c r="D16">
        <v>610.71199999999999</v>
      </c>
      <c r="E16">
        <v>9.6686354873599942</v>
      </c>
    </row>
    <row r="17" spans="1:5" x14ac:dyDescent="0.2">
      <c r="A17" s="28">
        <v>2012</v>
      </c>
      <c r="B17" t="s">
        <v>13</v>
      </c>
      <c r="C17" s="4">
        <v>471.54676324735726</v>
      </c>
      <c r="D17">
        <v>532.33500000000004</v>
      </c>
      <c r="E17">
        <v>8.8580830350692192</v>
      </c>
    </row>
    <row r="18" spans="1:5" x14ac:dyDescent="0.2">
      <c r="A18" s="28">
        <v>2012</v>
      </c>
      <c r="B18" t="s">
        <v>14</v>
      </c>
      <c r="C18" s="4">
        <v>84.535135141170144</v>
      </c>
      <c r="D18">
        <v>94.105000000000004</v>
      </c>
      <c r="E18">
        <v>8.9830652081366722</v>
      </c>
    </row>
    <row r="19" spans="1:5" x14ac:dyDescent="0.2">
      <c r="A19" s="28">
        <v>2012</v>
      </c>
      <c r="B19" t="s">
        <v>15</v>
      </c>
      <c r="C19" s="4">
        <v>7.9503989092860978</v>
      </c>
      <c r="D19">
        <v>10.095000000000001</v>
      </c>
      <c r="E19">
        <v>7.8755808908232767</v>
      </c>
    </row>
    <row r="20" spans="1:5" x14ac:dyDescent="0.2">
      <c r="A20" s="28">
        <v>2017</v>
      </c>
      <c r="B20" t="s">
        <v>10</v>
      </c>
      <c r="C20" s="4">
        <v>4.3876907436489603</v>
      </c>
      <c r="D20">
        <v>4.5599999999999996</v>
      </c>
      <c r="E20">
        <v>9.622128823791579</v>
      </c>
    </row>
    <row r="21" spans="1:5" x14ac:dyDescent="0.2">
      <c r="A21" s="28">
        <v>2017</v>
      </c>
      <c r="B21" t="s">
        <v>11</v>
      </c>
      <c r="C21" s="4">
        <v>45.691275436489605</v>
      </c>
      <c r="D21">
        <v>48.210999999999999</v>
      </c>
      <c r="E21">
        <v>9.4773548436020008</v>
      </c>
    </row>
    <row r="22" spans="1:5" x14ac:dyDescent="0.2">
      <c r="A22" s="28">
        <v>2017</v>
      </c>
      <c r="B22" t="s">
        <v>12</v>
      </c>
      <c r="C22" s="4">
        <v>656.44446991642826</v>
      </c>
      <c r="D22">
        <v>628.245</v>
      </c>
      <c r="E22">
        <v>10.448861032183755</v>
      </c>
    </row>
    <row r="23" spans="1:5" x14ac:dyDescent="0.2">
      <c r="A23" s="28">
        <v>2017</v>
      </c>
      <c r="B23" t="s">
        <v>13</v>
      </c>
      <c r="C23" s="4">
        <v>511.5799249595442</v>
      </c>
      <c r="D23">
        <v>527.61699999999996</v>
      </c>
      <c r="E23">
        <v>9.6960470371414136</v>
      </c>
    </row>
    <row r="24" spans="1:5" x14ac:dyDescent="0.2">
      <c r="A24" s="28">
        <v>2017</v>
      </c>
      <c r="B24" t="s">
        <v>14</v>
      </c>
      <c r="C24" s="4">
        <v>87.607418840646645</v>
      </c>
      <c r="D24">
        <v>87.322000000000003</v>
      </c>
      <c r="E24">
        <v>10.032685788306114</v>
      </c>
    </row>
    <row r="25" spans="1:5" x14ac:dyDescent="0.2">
      <c r="A25" s="28">
        <v>2017</v>
      </c>
      <c r="B25" t="s">
        <v>15</v>
      </c>
      <c r="C25" s="4">
        <v>5.9760484110854497</v>
      </c>
      <c r="D25">
        <v>7.242</v>
      </c>
      <c r="E25">
        <v>8.2519309736059778</v>
      </c>
    </row>
    <row r="26" spans="1:5" x14ac:dyDescent="0.2">
      <c r="A26" s="28">
        <v>2022</v>
      </c>
      <c r="B26" t="s">
        <v>10</v>
      </c>
      <c r="C26" s="4">
        <v>2.580540850649351</v>
      </c>
      <c r="D26">
        <v>2.5070000000000001</v>
      </c>
      <c r="E26">
        <v>10.293342044871762</v>
      </c>
    </row>
    <row r="27" spans="1:5" x14ac:dyDescent="0.2">
      <c r="A27" s="28">
        <v>2022</v>
      </c>
      <c r="B27" t="s">
        <v>11</v>
      </c>
      <c r="C27" s="4">
        <v>38.493834720779219</v>
      </c>
      <c r="D27">
        <v>38.29</v>
      </c>
      <c r="E27">
        <v>10.053234453063258</v>
      </c>
    </row>
    <row r="28" spans="1:5" x14ac:dyDescent="0.2">
      <c r="A28" s="28">
        <v>2022</v>
      </c>
      <c r="B28" t="s">
        <v>12</v>
      </c>
      <c r="C28" s="4">
        <v>688.45952033855792</v>
      </c>
      <c r="D28">
        <v>631.19899999999996</v>
      </c>
      <c r="E28">
        <v>10.90717064410048</v>
      </c>
    </row>
    <row r="29" spans="1:5" x14ac:dyDescent="0.2">
      <c r="A29" s="28">
        <v>2022</v>
      </c>
      <c r="B29" t="s">
        <v>13</v>
      </c>
      <c r="C29" s="4">
        <v>449.30910041786291</v>
      </c>
      <c r="D29">
        <v>455.65100000000001</v>
      </c>
      <c r="E29">
        <v>9.8608167307404759</v>
      </c>
    </row>
    <row r="30" spans="1:5" x14ac:dyDescent="0.2">
      <c r="A30" s="28">
        <v>2022</v>
      </c>
      <c r="B30" t="s">
        <v>14</v>
      </c>
      <c r="C30" s="4">
        <v>65.121010551948046</v>
      </c>
      <c r="D30">
        <v>63.692</v>
      </c>
      <c r="E30">
        <v>10.22436264396597</v>
      </c>
    </row>
    <row r="31" spans="1:5" x14ac:dyDescent="0.2">
      <c r="A31" s="28">
        <v>2022</v>
      </c>
      <c r="B31" t="s">
        <v>15</v>
      </c>
      <c r="C31" s="4">
        <v>3.7023710649350652</v>
      </c>
      <c r="D31">
        <v>4.21</v>
      </c>
      <c r="E31">
        <v>8.7942305580405353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Eggs</vt:lpstr>
      <vt:lpstr>Milk</vt:lpstr>
      <vt:lpstr>Beef</vt:lpstr>
      <vt:lpstr>Pork</vt:lpstr>
      <vt:lpstr>Broilers</vt:lpstr>
      <vt:lpstr>Turkey</vt:lpstr>
      <vt:lpstr>Sheet2</vt:lpstr>
      <vt:lpstr>Sheet1</vt:lpstr>
      <vt:lpstr>Sheet3</vt:lpstr>
      <vt:lpstr>Sheet5 (2)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Lima Casseres dos Santos, Lucas</dc:creator>
  <cp:lastModifiedBy>de Lima Casseres dos Santos, Lucas</cp:lastModifiedBy>
  <dcterms:created xsi:type="dcterms:W3CDTF">2025-04-09T23:24:15Z</dcterms:created>
  <dcterms:modified xsi:type="dcterms:W3CDTF">2025-10-23T14:35:41Z</dcterms:modified>
</cp:coreProperties>
</file>